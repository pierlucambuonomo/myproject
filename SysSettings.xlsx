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yprogect\myproject\"/>
    </mc:Choice>
  </mc:AlternateContent>
  <xr:revisionPtr revIDLastSave="0" documentId="13_ncr:1_{378C0901-8596-470A-8F0E-CF14CB42ECF5}" xr6:coauthVersionLast="47" xr6:coauthVersionMax="47" xr10:uidLastSave="{00000000-0000-0000-0000-000000000000}"/>
  <bookViews>
    <workbookView xWindow="0" yWindow="1733" windowWidth="21600" windowHeight="11947" tabRatio="853" activeTab="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  <sheet name="Reporting" sheetId="23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6" l="1" a="1"/>
  <c r="L13" i="16" s="1"/>
  <c r="L7" i="16" a="1"/>
  <c r="L7" i="16" s="1"/>
  <c r="K8" i="16" a="1"/>
  <c r="K8" i="16" s="1"/>
  <c r="D31" i="21"/>
  <c r="L8" i="16" l="1" a="1"/>
  <c r="L8" i="16" s="1"/>
  <c r="K14" i="16" s="1" a="1"/>
  <c r="K14" i="16" s="1"/>
  <c r="L14" i="16" s="1" a="1"/>
  <c r="L14" i="16" s="1"/>
  <c r="I8" i="16" s="1" a="1"/>
  <c r="I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<sst xmlns="http://schemas.openxmlformats.org/spreadsheetml/2006/main" count="612" uniqueCount="347">
  <si>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</si>
  <si>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</si>
  <si>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</si>
  <si>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</si>
  <si>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</si>
  <si>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</si>
  <si>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</si>
  <si>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</si>
  <si>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PL</t>
  </si>
  <si>
    <t>~StartYear</t>
  </si>
  <si>
    <t>~TimePeriods</t>
  </si>
  <si>
    <t>~ActivePDef</t>
  </si>
  <si>
    <t>Pdef-1</t>
  </si>
  <si>
    <t>LimType</t>
  </si>
  <si>
    <t>Attribute</t>
  </si>
  <si>
    <t>Year2</t>
  </si>
  <si>
    <t>AllRegions</t>
  </si>
  <si>
    <t>Pset_PN</t>
  </si>
  <si>
    <t>UP</t>
  </si>
  <si>
    <t>ACT_BND</t>
  </si>
  <si>
    <t>Share-O</t>
  </si>
  <si>
    <t>Share-I</t>
  </si>
  <si>
    <t>~TFM_UPD</t>
  </si>
  <si>
    <t>Pset_Set</t>
  </si>
  <si>
    <t>ACTCOST</t>
  </si>
  <si>
    <t>IRE</t>
  </si>
  <si>
    <t>IMP*Z</t>
  </si>
  <si>
    <t>IMPDEMZ</t>
  </si>
  <si>
    <t>* Definicje stałych w modelu</t>
  </si>
  <si>
    <t>~TFM_INS</t>
  </si>
  <si>
    <t>TimeSlice</t>
  </si>
  <si>
    <t>Year</t>
  </si>
  <si>
    <t>Other_Indexes</t>
  </si>
  <si>
    <t>Cset_CN</t>
  </si>
  <si>
    <t>G_DYEAR</t>
  </si>
  <si>
    <t>Discount</t>
  </si>
  <si>
    <t>COM_PEAK</t>
  </si>
  <si>
    <t>ELE_WN, ELE_SN, CIEP_WT</t>
  </si>
  <si>
    <t>COM_PKRSV</t>
  </si>
  <si>
    <t>ELE_WN, ELE_SN</t>
  </si>
  <si>
    <t>YRFR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</si>
  <si>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</si>
  <si>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</si>
  <si>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</si>
  <si>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</si>
  <si>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</si>
  <si>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</si>
  <si>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</si>
  <si>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</si>
  <si>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</si>
  <si>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</si>
  <si>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</si>
  <si>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</si>
  <si>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</si>
  <si>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</si>
  <si>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</si>
  <si>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</si>
  <si>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</si>
  <si>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</si>
  <si>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</si>
  <si>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</si>
  <si>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</si>
  <si>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</si>
  <si>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</si>
  <si>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</si>
  <si>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</si>
  <si>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</si>
  <si>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</si>
  <si>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</si>
  <si>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</si>
  <si>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</si>
  <si>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</si>
  <si>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</si>
  <si>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</si>
  <si>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</si>
  <si>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</si>
  <si>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</si>
  <si>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</si>
  <si>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</si>
  <si>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</si>
  <si>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</si>
  <si>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</si>
  <si>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</si>
  <si>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</si>
  <si>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1R</t>
  </si>
  <si>
    <t>2S</t>
  </si>
  <si>
    <t>3F</t>
  </si>
  <si>
    <t>4W</t>
  </si>
  <si>
    <t>TimeSlices</t>
  </si>
  <si>
    <t>Regions</t>
  </si>
  <si>
    <t>Start Year</t>
  </si>
  <si>
    <t>Active period definition</t>
  </si>
  <si>
    <t>Period definition</t>
  </si>
  <si>
    <t>~TFM_MIG</t>
  </si>
  <si>
    <t>Dummy Import Prices</t>
  </si>
  <si>
    <t>Global interpolation settings</t>
  </si>
  <si>
    <t>G_CYCLE</t>
  </si>
  <si>
    <t>DAYNITE</t>
  </si>
  <si>
    <t>For later</t>
  </si>
  <si>
    <t>~UnitConversion</t>
  </si>
  <si>
    <t>* Currencies</t>
  </si>
  <si>
    <t>* Default Units</t>
  </si>
  <si>
    <t>* Unit Conversion</t>
  </si>
  <si>
    <t>FX</t>
  </si>
  <si>
    <t>AFA</t>
  </si>
  <si>
    <t>RPT_OPT</t>
  </si>
  <si>
    <t>FLO~3</t>
  </si>
  <si>
    <t>1MO</t>
  </si>
  <si>
    <t>2TU</t>
  </si>
  <si>
    <t>3WE</t>
  </si>
  <si>
    <t>4TH</t>
  </si>
  <si>
    <t>5FR</t>
  </si>
  <si>
    <t>6SA</t>
  </si>
  <si>
    <t>7SU</t>
  </si>
  <si>
    <t>1H</t>
  </si>
  <si>
    <t>2H</t>
  </si>
  <si>
    <t>3H</t>
  </si>
  <si>
    <t>4H</t>
  </si>
  <si>
    <t>5H</t>
  </si>
  <si>
    <t>6H</t>
  </si>
  <si>
    <t>7H</t>
  </si>
  <si>
    <t>8H</t>
  </si>
  <si>
    <t>1R1MO1H</t>
  </si>
  <si>
    <t>1R1MO2H</t>
  </si>
  <si>
    <t>1R1MO3H</t>
  </si>
  <si>
    <t>1R1MO4H</t>
  </si>
  <si>
    <t>1R1MO5H</t>
  </si>
  <si>
    <t>1R1MO6H</t>
  </si>
  <si>
    <t>1R1MO7H</t>
  </si>
  <si>
    <t>1R1MO8H</t>
  </si>
  <si>
    <t>1R2TU1H</t>
  </si>
  <si>
    <t>1R2TU2H</t>
  </si>
  <si>
    <t>1R2TU3H</t>
  </si>
  <si>
    <t>1R2TU4H</t>
  </si>
  <si>
    <t>1R2TU5H</t>
  </si>
  <si>
    <t>1R2TU6H</t>
  </si>
  <si>
    <t>1R2TU7H</t>
  </si>
  <si>
    <t>1R2TU8H</t>
  </si>
  <si>
    <t>1R3WE1H</t>
  </si>
  <si>
    <t>1R3WE2H</t>
  </si>
  <si>
    <t>1R3WE3H</t>
  </si>
  <si>
    <t>1R3WE4H</t>
  </si>
  <si>
    <t>1R3WE5H</t>
  </si>
  <si>
    <t>1R3WE6H</t>
  </si>
  <si>
    <t>1R3WE7H</t>
  </si>
  <si>
    <t>1R3WE8H</t>
  </si>
  <si>
    <t>1R4TH1H</t>
  </si>
  <si>
    <t>1R4TH2H</t>
  </si>
  <si>
    <t>1R4TH3H</t>
  </si>
  <si>
    <t>1R4TH4H</t>
  </si>
  <si>
    <t>1R4TH5H</t>
  </si>
  <si>
    <t>1R4TH6H</t>
  </si>
  <si>
    <t>1R4TH7H</t>
  </si>
  <si>
    <t>1R4TH8H</t>
  </si>
  <si>
    <t>1R5FR1H</t>
  </si>
  <si>
    <t>1R5FR2H</t>
  </si>
  <si>
    <t>1R5FR3H</t>
  </si>
  <si>
    <t>1R5FR4H</t>
  </si>
  <si>
    <t>1R5FR5H</t>
  </si>
  <si>
    <t>1R5FR6H</t>
  </si>
  <si>
    <t>1R5FR7H</t>
  </si>
  <si>
    <t>1R5FR8H</t>
  </si>
  <si>
    <t>1R6SA1H</t>
  </si>
  <si>
    <t>1R6SA2H</t>
  </si>
  <si>
    <t>1R6SA3H</t>
  </si>
  <si>
    <t>1R6SA4H</t>
  </si>
  <si>
    <t>1R6SA5H</t>
  </si>
  <si>
    <t>1R6SA6H</t>
  </si>
  <si>
    <t>1R6SA7H</t>
  </si>
  <si>
    <t>1R6SA8H</t>
  </si>
  <si>
    <t>1R7SU1H</t>
  </si>
  <si>
    <t>1R7SU2H</t>
  </si>
  <si>
    <t>1R7SU3H</t>
  </si>
  <si>
    <t>1R7SU4H</t>
  </si>
  <si>
    <t>1R7SU5H</t>
  </si>
  <si>
    <t>1R7SU6H</t>
  </si>
  <si>
    <t>1R7SU7H</t>
  </si>
  <si>
    <t>1R7SU8H</t>
  </si>
  <si>
    <t>2S1MO1H</t>
  </si>
  <si>
    <t>2S1MO2H</t>
  </si>
  <si>
    <t>2S1MO3H</t>
  </si>
  <si>
    <t>2S1MO4H</t>
  </si>
  <si>
    <t>2S1MO5H</t>
  </si>
  <si>
    <t>2S1MO6H</t>
  </si>
  <si>
    <t>2S1MO7H</t>
  </si>
  <si>
    <t>2S1MO8H</t>
  </si>
  <si>
    <t>2S2TU1H</t>
  </si>
  <si>
    <t>2S2TU2H</t>
  </si>
  <si>
    <t>2S2TU3H</t>
  </si>
  <si>
    <t>2S2TU4H</t>
  </si>
  <si>
    <t>2S2TU5H</t>
  </si>
  <si>
    <t>2S2TU6H</t>
  </si>
  <si>
    <t>2S2TU7H</t>
  </si>
  <si>
    <t>2S2TU8H</t>
  </si>
  <si>
    <t>2S3WE1H</t>
  </si>
  <si>
    <t>2S3WE2H</t>
  </si>
  <si>
    <t>2S3WE3H</t>
  </si>
  <si>
    <t>2S3WE4H</t>
  </si>
  <si>
    <t>2S3WE5H</t>
  </si>
  <si>
    <t>2S3WE6H</t>
  </si>
  <si>
    <t>2S3WE7H</t>
  </si>
  <si>
    <t>2S3WE8H</t>
  </si>
  <si>
    <t>2S4TH1H</t>
  </si>
  <si>
    <t>2S4TH2H</t>
  </si>
  <si>
    <t>2S4TH3H</t>
  </si>
  <si>
    <t>2S4TH4H</t>
  </si>
  <si>
    <t>2S4TH5H</t>
  </si>
  <si>
    <t>2S4TH6H</t>
  </si>
  <si>
    <t>2S4TH7H</t>
  </si>
  <si>
    <t>2S4TH8H</t>
  </si>
  <si>
    <t>2S5FR1H</t>
  </si>
  <si>
    <t>2S5FR2H</t>
  </si>
  <si>
    <t>2S5FR3H</t>
  </si>
  <si>
    <t>2S5FR4H</t>
  </si>
  <si>
    <t>2S5FR5H</t>
  </si>
  <si>
    <t>2S5FR6H</t>
  </si>
  <si>
    <t>2S5FR7H</t>
  </si>
  <si>
    <t>2S5FR8H</t>
  </si>
  <si>
    <t>2S6SA1H</t>
  </si>
  <si>
    <t>2S6SA2H</t>
  </si>
  <si>
    <t>2S6SA3H</t>
  </si>
  <si>
    <t>2S6SA4H</t>
  </si>
  <si>
    <t>2S6SA5H</t>
  </si>
  <si>
    <t>2S6SA6H</t>
  </si>
  <si>
    <t>2S6SA7H</t>
  </si>
  <si>
    <t>2S6SA8H</t>
  </si>
  <si>
    <t>2S7SU1H</t>
  </si>
  <si>
    <t>2S7SU2H</t>
  </si>
  <si>
    <t>2S7SU3H</t>
  </si>
  <si>
    <t>2S7SU4H</t>
  </si>
  <si>
    <t>2S7SU5H</t>
  </si>
  <si>
    <t>2S7SU6H</t>
  </si>
  <si>
    <t>2S7SU7H</t>
  </si>
  <si>
    <t>2S7SU8H</t>
  </si>
  <si>
    <t>3F1MO1H</t>
  </si>
  <si>
    <t>3F1MO2H</t>
  </si>
  <si>
    <t>3F1MO3H</t>
  </si>
  <si>
    <t>3F1MO4H</t>
  </si>
  <si>
    <t>3F1MO5H</t>
  </si>
  <si>
    <t>3F1MO6H</t>
  </si>
  <si>
    <t>3F1MO7H</t>
  </si>
  <si>
    <t>3F1MO8H</t>
  </si>
  <si>
    <t>3F2TU1H</t>
  </si>
  <si>
    <t>3F2TU2H</t>
  </si>
  <si>
    <t>3F2TU3H</t>
  </si>
  <si>
    <t>3F2TU4H</t>
  </si>
  <si>
    <t>3F2TU5H</t>
  </si>
  <si>
    <t>3F2TU6H</t>
  </si>
  <si>
    <t>3F2TU7H</t>
  </si>
  <si>
    <t>3F2TU8H</t>
  </si>
  <si>
    <t>3F3WE1H</t>
  </si>
  <si>
    <t>3F3WE2H</t>
  </si>
  <si>
    <t>3F3WE3H</t>
  </si>
  <si>
    <t>3F3WE4H</t>
  </si>
  <si>
    <t>3F3WE5H</t>
  </si>
  <si>
    <t>3F3WE6H</t>
  </si>
  <si>
    <t>3F3WE7H</t>
  </si>
  <si>
    <t>3F3WE8H</t>
  </si>
  <si>
    <t>3F4TH1H</t>
  </si>
  <si>
    <t>3F4TH2H</t>
  </si>
  <si>
    <t>3F4TH3H</t>
  </si>
  <si>
    <t>3F4TH4H</t>
  </si>
  <si>
    <t>3F4TH5H</t>
  </si>
  <si>
    <t>3F4TH6H</t>
  </si>
  <si>
    <t>3F4TH7H</t>
  </si>
  <si>
    <t>3F4TH8H</t>
  </si>
  <si>
    <t>3F5FR1H</t>
  </si>
  <si>
    <t>3F5FR2H</t>
  </si>
  <si>
    <t>3F5FR3H</t>
  </si>
  <si>
    <t>3F5FR4H</t>
  </si>
  <si>
    <t>3F5FR5H</t>
  </si>
  <si>
    <t>3F5FR6H</t>
  </si>
  <si>
    <t>3F5FR7H</t>
  </si>
  <si>
    <t>3F5FR8H</t>
  </si>
  <si>
    <t>3F6SA1H</t>
  </si>
  <si>
    <t>3F6SA2H</t>
  </si>
  <si>
    <t>3F6SA3H</t>
  </si>
  <si>
    <t>3F6SA4H</t>
  </si>
  <si>
    <t>3F6SA5H</t>
  </si>
  <si>
    <t>3F6SA6H</t>
  </si>
  <si>
    <t>3F6SA7H</t>
  </si>
  <si>
    <t>3F6SA8H</t>
  </si>
  <si>
    <t>3F7SU1H</t>
  </si>
  <si>
    <t>3F7SU2H</t>
  </si>
  <si>
    <t>3F7SU3H</t>
  </si>
  <si>
    <t>3F7SU4H</t>
  </si>
  <si>
    <t>3F7SU5H</t>
  </si>
  <si>
    <t>3F7SU6H</t>
  </si>
  <si>
    <t>3F7SU7H</t>
  </si>
  <si>
    <t>3F7SU8H</t>
  </si>
  <si>
    <t>4W1MO1H</t>
  </si>
  <si>
    <t>4W1MO2H</t>
  </si>
  <si>
    <t>4W1MO3H</t>
  </si>
  <si>
    <t>4W1MO4H</t>
  </si>
  <si>
    <t>4W1MO5H</t>
  </si>
  <si>
    <t>4W1MO6H</t>
  </si>
  <si>
    <t>4W1MO7H</t>
  </si>
  <si>
    <t>4W1MO8H</t>
  </si>
  <si>
    <t>4W2TU1H</t>
  </si>
  <si>
    <t>4W2TU2H</t>
  </si>
  <si>
    <t>4W2TU3H</t>
  </si>
  <si>
    <t>4W2TU4H</t>
  </si>
  <si>
    <t>4W2TU5H</t>
  </si>
  <si>
    <t>4W2TU6H</t>
  </si>
  <si>
    <t>4W2TU7H</t>
  </si>
  <si>
    <t>4W2TU8H</t>
  </si>
  <si>
    <t>4W3WE1H</t>
  </si>
  <si>
    <t>4W3WE2H</t>
  </si>
  <si>
    <t>4W3WE3H</t>
  </si>
  <si>
    <t>4W3WE4H</t>
  </si>
  <si>
    <t>4W3WE5H</t>
  </si>
  <si>
    <t>4W3WE6H</t>
  </si>
  <si>
    <t>4W3WE7H</t>
  </si>
  <si>
    <t>4W3WE8H</t>
  </si>
  <si>
    <t>4W4TH1H</t>
  </si>
  <si>
    <t>4W4TH2H</t>
  </si>
  <si>
    <t>4W4TH3H</t>
  </si>
  <si>
    <t>4W4TH4H</t>
  </si>
  <si>
    <t>4W4TH5H</t>
  </si>
  <si>
    <t>4W4TH6H</t>
  </si>
  <si>
    <t>4W4TH7H</t>
  </si>
  <si>
    <t>4W4TH8H</t>
  </si>
  <si>
    <t>4W5FR1H</t>
  </si>
  <si>
    <t>4W5FR2H</t>
  </si>
  <si>
    <t>4W5FR3H</t>
  </si>
  <si>
    <t>4W5FR4H</t>
  </si>
  <si>
    <t>4W5FR5H</t>
  </si>
  <si>
    <t>4W5FR6H</t>
  </si>
  <si>
    <t>4W5FR7H</t>
  </si>
  <si>
    <t>4W5FR8H</t>
  </si>
  <si>
    <t>4W6SA1H</t>
  </si>
  <si>
    <t>4W6SA2H</t>
  </si>
  <si>
    <t>4W6SA3H</t>
  </si>
  <si>
    <t>4W6SA4H</t>
  </si>
  <si>
    <t>4W6SA5H</t>
  </si>
  <si>
    <t>4W6SA6H</t>
  </si>
  <si>
    <t>4W6SA7H</t>
  </si>
  <si>
    <t>4W6SA8H</t>
  </si>
  <si>
    <t>4W7SU1H</t>
  </si>
  <si>
    <t>4W7SU2H</t>
  </si>
  <si>
    <t>4W7SU3H</t>
  </si>
  <si>
    <t>4W7SU4H</t>
  </si>
  <si>
    <t>4W7SU5H</t>
  </si>
  <si>
    <t>4W7SU6H</t>
  </si>
  <si>
    <t>4W7SU7H</t>
  </si>
  <si>
    <t>4W7SU8H</t>
  </si>
  <si>
    <t>\I: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</si>
</sst>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rgb="FF000000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C1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96DBFC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5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5" fillId="0" borderId="0"/>
    <xf numFmtId="0" fontId="9" fillId="0" borderId="0"/>
  </cellStyleXfs>
  <cellXfs count="55">
    <xf numFmtId="0" fontId="0" fillId="0" borderId="0" xfId="0"/>
    <xf numFmtId="0" fontId="17" fillId="5" borderId="0" xfId="0" applyFont="1" applyFill="1"/>
    <xf numFmtId="0" fontId="17" fillId="5" borderId="0" xfId="1" applyFont="1" applyFill="1"/>
    <xf numFmtId="0" fontId="17" fillId="16" borderId="9" xfId="6" applyFont="1" applyFill="1" applyBorder="1"/>
    <xf numFmtId="0" fontId="17" fillId="16" borderId="9" xfId="5" applyFont="1" applyFill="1" applyBorder="1"/>
    <xf numFmtId="0" fontId="17" fillId="16" borderId="0" xfId="6" applyFont="1" applyFill="1"/>
    <xf numFmtId="0" fontId="17" fillId="16" borderId="0" xfId="4" applyFont="1" applyFill="1"/>
    <xf numFmtId="0" fontId="17" fillId="16" borderId="0" xfId="5" applyFont="1" applyFill="1"/>
    <xf numFmtId="0" fontId="17" fillId="15" borderId="0" xfId="6" applyFont="1" applyFill="1"/>
    <xf numFmtId="0" fontId="17" fillId="15" borderId="0" xfId="4" applyFont="1" applyFill="1"/>
    <xf numFmtId="0" fontId="17" fillId="15" borderId="0" xfId="5" applyFont="1" applyFill="1"/>
    <xf numFmtId="0" fontId="17" fillId="14" borderId="11" xfId="6" applyFont="1" applyFill="1" applyBorder="1"/>
    <xf numFmtId="0" fontId="17" fillId="13" borderId="11" xfId="1" applyFont="1" applyFill="1" applyBorder="1"/>
    <xf numFmtId="0" fontId="18" fillId="12" borderId="10" xfId="0" applyFont="1" applyFill="1" applyBorder="1" applyAlignment="1">
      <alignment horizontal="center" vertical="center" wrapText="1"/>
    </xf>
    <xf numFmtId="0" fontId="19" fillId="8" borderId="0" xfId="1" applyFont="1" applyFill="1"/>
    <xf numFmtId="0" fontId="17" fillId="9" borderId="0" xfId="0" applyFont="1" applyFill="1"/>
    <xf numFmtId="0" fontId="17" fillId="9" borderId="0" xfId="1" applyFont="1" applyFill="1"/>
    <xf numFmtId="0" fontId="2" fillId="0" borderId="0" xfId="0" applyFont="1"/>
    <xf numFmtId="0" fontId="1" fillId="0" borderId="0" xfId="0" applyFont="1"/>
    <xf numFmtId="0" fontId="5" fillId="2" borderId="2" xfId="0" applyFont="1" applyFill="1" applyBorder="1"/>
    <xf numFmtId="0" fontId="6" fillId="0" borderId="0" xfId="0" applyFont="1"/>
    <xf numFmtId="0" fontId="7" fillId="3" borderId="0" xfId="0" applyFont="1" applyFill="1" applyAlignment="1">
      <alignment horizontal="left"/>
    </xf>
    <xf numFmtId="0" fontId="5" fillId="0" borderId="0" xfId="1"/>
    <xf numFmtId="0" fontId="12" fillId="0" borderId="0" xfId="0" applyFont="1"/>
    <xf numFmtId="0" fontId="8" fillId="4" borderId="1" xfId="0" applyFont="1" applyFill="1" applyBorder="1"/>
    <xf numFmtId="0" fontId="0" fillId="0" borderId="0" xfId="0" applyAlignment="1">
      <alignment horizontal="center"/>
    </xf>
    <xf numFmtId="0" fontId="9" fillId="0" borderId="0" xfId="0" applyFont="1"/>
    <xf numFmtId="0" fontId="5" fillId="5" borderId="0" xfId="1" applyFill="1"/>
    <xf numFmtId="0" fontId="0" fillId="5" borderId="0" xfId="0" applyFill="1"/>
    <xf numFmtId="0" fontId="9" fillId="6" borderId="3" xfId="0" applyFont="1" applyFill="1" applyBorder="1"/>
    <xf numFmtId="0" fontId="0" fillId="0" borderId="3" xfId="0" applyBorder="1"/>
    <xf numFmtId="0" fontId="5" fillId="0" borderId="3" xfId="0" applyFont="1" applyBorder="1"/>
    <xf numFmtId="0" fontId="9" fillId="0" borderId="3" xfId="0" applyFont="1" applyBorder="1"/>
    <xf numFmtId="0" fontId="13" fillId="3" borderId="0" xfId="0" applyFont="1" applyFill="1" applyAlignment="1">
      <alignment horizontal="left"/>
    </xf>
    <xf numFmtId="0" fontId="0" fillId="7" borderId="0" xfId="0" applyFill="1"/>
    <xf numFmtId="0" fontId="5" fillId="7" borderId="0" xfId="0" applyFont="1" applyFill="1"/>
    <xf numFmtId="0" fontId="0" fillId="7" borderId="3" xfId="0" applyFill="1" applyBorder="1"/>
    <xf numFmtId="0" fontId="5" fillId="7" borderId="0" xfId="1" applyFill="1"/>
    <xf numFmtId="0" fontId="9" fillId="7" borderId="3" xfId="0" applyFont="1" applyFill="1" applyBorder="1"/>
    <xf numFmtId="0" fontId="9" fillId="7" borderId="0" xfId="0" applyFont="1" applyFill="1"/>
    <xf numFmtId="0" fontId="14" fillId="0" borderId="0" xfId="0" applyFont="1"/>
    <xf numFmtId="0" fontId="9" fillId="8" borderId="4" xfId="0" applyFont="1" applyFill="1" applyBorder="1"/>
    <xf numFmtId="0" fontId="9" fillId="9" borderId="0" xfId="0" applyFont="1" applyFill="1"/>
    <xf numFmtId="0" fontId="9" fillId="8" borderId="0" xfId="0" applyFont="1" applyFill="1"/>
    <xf numFmtId="0" fontId="9" fillId="9" borderId="5" xfId="0" applyFont="1" applyFill="1" applyBorder="1"/>
    <xf numFmtId="0" fontId="5" fillId="2" borderId="6" xfId="0" applyFont="1" applyFill="1" applyBorder="1"/>
    <xf numFmtId="0" fontId="9" fillId="8" borderId="7" xfId="0" applyFont="1" applyFill="1" applyBorder="1"/>
    <xf numFmtId="0" fontId="9" fillId="10" borderId="8" xfId="6" applyFont="1" applyFill="1" applyBorder="1"/>
    <xf numFmtId="0" fontId="11" fillId="0" borderId="0" xfId="3" applyAlignment="1">
      <alignment horizontal="center"/>
    </xf>
    <xf numFmtId="0" fontId="16" fillId="0" borderId="0" xfId="6" applyFont="1"/>
    <xf numFmtId="0" fontId="15" fillId="0" borderId="0" xfId="6"/>
    <xf numFmtId="0" fontId="9" fillId="0" borderId="0" xfId="2"/>
    <xf numFmtId="0" fontId="8" fillId="11" borderId="6" xfId="7" applyFont="1" applyFill="1" applyBorder="1" applyAlignment="1">
      <alignment horizontal="center" vertical="center"/>
    </xf>
    <xf numFmtId="0" fontId="9" fillId="10" borderId="3" xfId="7" applyFill="1" applyBorder="1"/>
    <xf numFmtId="0" fontId="20" fillId="13" borderId="11" xfId="1" applyFont="1" applyFill="1" applyBorder="1"/>
  </cellXfs>
  <cellStyles count="8">
    <cellStyle name="Normal 10" xfId="1" xr:uid="{00000000-0005-0000-0000-0000C7010000}"/>
    <cellStyle name="Normal 10 2" xfId="6" xr:uid="{EB0C2ED4-4687-4FED-8497-A80B55395A75}"/>
    <cellStyle name="Normal_Constants 2" xfId="5" xr:uid="{C6AA90A5-1043-4AB8-B229-DB93742915B6}"/>
    <cellStyle name="Normale" xfId="0" builtinId="0"/>
    <cellStyle name="Normalny 11" xfId="2" xr:uid="{00000000-0005-0000-0000-0000DF010000}"/>
    <cellStyle name="Normalny 12" xfId="3" xr:uid="{00000000-0005-0000-0000-0000E2010000}"/>
    <cellStyle name="Normalny 2" xfId="4" xr:uid="{00000000-0005-0000-0000-0000E8010000}"/>
    <cellStyle name="Normalny 2 3" xfId="7" xr:uid="{1B5E8EBA-37B9-4148-9C3E-C422488665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4</xdr:row>
      <xdr:rowOff>140191</xdr:rowOff>
    </xdr:from>
    <xdr:to>
      <xdr:col>16</xdr:col>
      <xdr:colOff>495301</xdr:colOff>
      <xdr:row>24</xdr:row>
      <xdr:rowOff>143616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540432C-E024-A605-6743-2188978EC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976" y="864091"/>
          <a:ext cx="6096000" cy="377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31"/>
  <sheetViews>
    <sheetView topLeftCell="C1" zoomScale="190" zoomScaleNormal="190" workbookViewId="0">
      <selection activeCell="I8" sqref="I8:I13"/>
    </sheetView>
  </sheetViews>
  <sheetFormatPr defaultRowHeight="12.75" x14ac:dyDescent="0.35"/>
  <cols>
    <col min="1" max="1" width="2.86328125" customWidth="1"/>
    <col min="2" max="2" width="19.1328125" bestFit="1" customWidth="1"/>
    <col min="4" max="4" width="2.1328125" customWidth="1"/>
    <col min="5" max="5" width="12.1328125" bestFit="1" customWidth="1"/>
    <col min="6" max="6" width="13.59765625" bestFit="1" customWidth="1"/>
    <col min="8" max="8" width="9.59765625" bestFit="1" customWidth="1"/>
    <col min="9" max="10" width="13.265625" customWidth="1"/>
  </cols>
  <sheetData>
    <row r="2" spans="2:19" ht="15" x14ac:dyDescent="0.4">
      <c r="B2" s="40"/>
    </row>
    <row r="3" spans="2:19" ht="12.75" customHeight="1" x14ac:dyDescent="0.4">
      <c r="B3" s="20"/>
    </row>
    <row r="4" spans="2:19" ht="17.25" x14ac:dyDescent="0.45">
      <c r="B4" s="21" t="s">
        <v>89</v>
      </c>
      <c r="E4" s="21" t="s">
        <v>88</v>
      </c>
      <c r="F4" s="21"/>
    </row>
    <row r="5" spans="2:19" ht="13.15" x14ac:dyDescent="0.4">
      <c r="B5" s="17"/>
      <c r="E5" s="17"/>
      <c r="F5" s="18"/>
      <c r="G5" s="18"/>
    </row>
    <row r="6" spans="2:19" ht="15.75" customHeight="1" x14ac:dyDescent="0.4">
      <c r="B6" s="17" t="s">
        <v>0</v>
      </c>
      <c r="E6" s="17" t="s">
        <v>1</v>
      </c>
      <c r="F6" s="18"/>
      <c r="G6" s="18"/>
    </row>
    <row r="7" spans="2:19" ht="15.75" customHeight="1" thickBot="1" x14ac:dyDescent="0.4">
      <c r="B7" s="45" t="s">
        <v>2</v>
      </c>
      <c r="C7" s="45" t="s">
        <v>3</v>
      </c>
      <c r="E7" s="19" t="s">
        <v>4</v>
      </c>
      <c r="F7" s="19" t="s">
        <v>5</v>
      </c>
      <c r="G7" s="19" t="s">
        <v>6</v>
      </c>
      <c r="L7" t="str" cm="1">
        <f t="array" ref="L7:R7">TRANSPOSE(F8:F14)</f>
        <v>1MO</v>
      </c>
      <c r="M7" t="str">
        <v>2TU</v>
      </c>
      <c r="N7" t="str">
        <v>3WE</v>
      </c>
      <c r="O7" t="str">
        <v>4TH</v>
      </c>
      <c r="P7" t="str">
        <v>5FR</v>
      </c>
      <c r="Q7" t="str">
        <v>6SA</v>
      </c>
      <c r="R7" t="str">
        <v>7SU</v>
      </c>
    </row>
    <row r="8" spans="2:19" ht="15.75" customHeight="1" thickBot="1" x14ac:dyDescent="0.4">
      <c r="B8" s="46" t="s">
        <v>7</v>
      </c>
      <c r="C8" s="46" t="s">
        <v>8</v>
      </c>
      <c r="E8" s="41" t="s">
        <v>84</v>
      </c>
      <c r="F8" s="41" t="s">
        <v>107</v>
      </c>
      <c r="G8" s="41" t="s">
        <v>114</v>
      </c>
      <c r="I8" t="str" cm="1">
        <f t="array" ref="I8:I231">_xlfn.TOCOL(_xlfn.ANCHORARRAY(L14))</f>
        <v>1R1MO1H</v>
      </c>
      <c r="K8" t="str" cm="1">
        <f t="array" ref="K8:K11">E8:E11</f>
        <v>1R</v>
      </c>
      <c r="L8" t="str" cm="1">
        <f t="array" ref="L8:R11">_xlfn.ANCHORARRAY(K8)&amp;_xlfn.ANCHORARRAY(L7)</f>
        <v>1R1MO</v>
      </c>
      <c r="M8" t="str">
        <v>1R2TU</v>
      </c>
      <c r="N8" t="str">
        <v>1R3WE</v>
      </c>
      <c r="O8" t="str">
        <v>1R4TH</v>
      </c>
      <c r="P8" t="str">
        <v>1R5FR</v>
      </c>
      <c r="Q8" t="str">
        <v>1R6SA</v>
      </c>
      <c r="R8" t="str">
        <v>1R7SU</v>
      </c>
    </row>
    <row r="9" spans="2:19" ht="15.75" customHeight="1" x14ac:dyDescent="0.35">
      <c r="E9" s="42" t="s">
        <v>85</v>
      </c>
      <c r="F9" s="42" t="s">
        <v>108</v>
      </c>
      <c r="G9" s="42" t="s">
        <v>115</v>
      </c>
      <c r="I9" t="str">
        <v>1R1MO2H</v>
      </c>
      <c r="K9" t="str">
        <v>2S</v>
      </c>
      <c r="L9" t="str">
        <v>2S1MO</v>
      </c>
      <c r="M9" t="str">
        <v>2S2TU</v>
      </c>
      <c r="N9" t="str">
        <v>2S3WE</v>
      </c>
      <c r="O9" t="str">
        <v>2S4TH</v>
      </c>
      <c r="P9" t="str">
        <v>2S5FR</v>
      </c>
      <c r="Q9" t="str">
        <v>2S6SA</v>
      </c>
      <c r="R9" t="str">
        <v>2S7SU</v>
      </c>
    </row>
    <row r="10" spans="2:19" ht="15.75" customHeight="1" x14ac:dyDescent="0.35">
      <c r="E10" s="43" t="s">
        <v>86</v>
      </c>
      <c r="F10" s="43" t="s">
        <v>109</v>
      </c>
      <c r="G10" s="43" t="s">
        <v>116</v>
      </c>
      <c r="I10" t="str">
        <v>1R1MO3H</v>
      </c>
      <c r="K10" t="str">
        <v>3F</v>
      </c>
      <c r="L10" t="str">
        <v>3F1MO</v>
      </c>
      <c r="M10" t="str">
        <v>3F2TU</v>
      </c>
      <c r="N10" t="str">
        <v>3F3WE</v>
      </c>
      <c r="O10" t="str">
        <v>3F4TH</v>
      </c>
      <c r="P10" t="str">
        <v>3F5FR</v>
      </c>
      <c r="Q10" t="str">
        <v>3F6SA</v>
      </c>
      <c r="R10" t="str">
        <v>3F7SU</v>
      </c>
    </row>
    <row r="11" spans="2:19" ht="15.75" customHeight="1" x14ac:dyDescent="0.35">
      <c r="E11" s="42" t="s">
        <v>87</v>
      </c>
      <c r="F11" s="42" t="s">
        <v>110</v>
      </c>
      <c r="G11" s="42" t="s">
        <v>117</v>
      </c>
      <c r="I11" t="str">
        <v>1R1MO4H</v>
      </c>
      <c r="K11" t="str">
        <v>4W</v>
      </c>
      <c r="L11" t="str">
        <v>4W1MO</v>
      </c>
      <c r="M11" t="str">
        <v>4W2TU</v>
      </c>
      <c r="N11" t="str">
        <v>4W3WE</v>
      </c>
      <c r="O11" t="str">
        <v>4W4TH</v>
      </c>
      <c r="P11" t="str">
        <v>4W5FR</v>
      </c>
      <c r="Q11" t="str">
        <v>4W6SA</v>
      </c>
      <c r="R11" t="str">
        <v>4W7SU</v>
      </c>
    </row>
    <row r="12" spans="2:19" ht="15.75" customHeight="1" x14ac:dyDescent="0.35">
      <c r="E12" s="43"/>
      <c r="F12" s="43" t="s">
        <v>111</v>
      </c>
      <c r="G12" s="43" t="s">
        <v>118</v>
      </c>
      <c r="I12" t="str">
        <v>1R1MO5H</v>
      </c>
    </row>
    <row r="13" spans="2:19" ht="15.75" customHeight="1" x14ac:dyDescent="0.35">
      <c r="E13" s="42"/>
      <c r="F13" s="42" t="s">
        <v>112</v>
      </c>
      <c r="G13" s="42" t="s">
        <v>119</v>
      </c>
      <c r="I13" t="str">
        <v>1R1MO6H</v>
      </c>
      <c r="L13" t="str" cm="1">
        <f t="array" ref="L13:S13">TRANSPOSE(G8:G15)</f>
        <v>1H</v>
      </c>
      <c r="M13" t="str">
        <v>2H</v>
      </c>
      <c r="N13" t="str">
        <v>3H</v>
      </c>
      <c r="O13" t="str">
        <v>4H</v>
      </c>
      <c r="P13" t="str">
        <v>5H</v>
      </c>
      <c r="Q13" t="str">
        <v>6H</v>
      </c>
      <c r="R13" t="str">
        <v>7H</v>
      </c>
      <c r="S13" t="str">
        <v>8H</v>
      </c>
    </row>
    <row r="14" spans="2:19" ht="15.75" customHeight="1" x14ac:dyDescent="0.35">
      <c r="E14" s="43"/>
      <c r="F14" s="43" t="s">
        <v>113</v>
      </c>
      <c r="G14" s="43" t="s">
        <v>120</v>
      </c>
      <c r="I14" t="str">
        <v>1R1MO7H</v>
      </c>
      <c r="K14" t="str" cm="1">
        <f t="array" ref="K14:K41">_xlfn.TOCOL(_xlfn.ANCHORARRAY(L8))</f>
        <v>1R1MO</v>
      </c>
      <c r="L14" t="str" cm="1">
        <f t="array" ref="L14:S41">_xlfn.ANCHORARRAY(K14)&amp;_xlfn.ANCHORARRAY(L13)</f>
        <v>1R1MO1H</v>
      </c>
      <c r="M14" t="str">
        <v>1R1MO2H</v>
      </c>
      <c r="N14" t="str">
        <v>1R1MO3H</v>
      </c>
      <c r="O14" t="str">
        <v>1R1MO4H</v>
      </c>
      <c r="P14" t="str">
        <v>1R1MO5H</v>
      </c>
      <c r="Q14" t="str">
        <v>1R1MO6H</v>
      </c>
      <c r="R14" t="str">
        <v>1R1MO7H</v>
      </c>
      <c r="S14" t="str">
        <v>1R1MO8H</v>
      </c>
    </row>
    <row r="15" spans="2:19" ht="15.75" customHeight="1" x14ac:dyDescent="0.35">
      <c r="E15" s="42"/>
      <c r="F15" s="42"/>
      <c r="G15" s="42" t="s">
        <v>121</v>
      </c>
      <c r="I15" t="str">
        <v>1R1MO8H</v>
      </c>
      <c r="K15" t="str">
        <v>1R2TU</v>
      </c>
      <c r="L15" t="str">
        <v>1R2TU1H</v>
      </c>
      <c r="M15" t="str">
        <v>1R2TU2H</v>
      </c>
      <c r="N15" t="str">
        <v>1R2TU3H</v>
      </c>
      <c r="O15" t="str">
        <v>1R2TU4H</v>
      </c>
      <c r="P15" t="str">
        <v>1R2TU5H</v>
      </c>
      <c r="Q15" t="str">
        <v>1R2TU6H</v>
      </c>
      <c r="R15" t="str">
        <v>1R2TU7H</v>
      </c>
      <c r="S15" t="str">
        <v>1R2TU8H</v>
      </c>
    </row>
    <row r="16" spans="2:19" ht="15.75" customHeight="1" x14ac:dyDescent="0.35">
      <c r="E16" s="43"/>
      <c r="F16" s="43"/>
      <c r="G16" s="43"/>
      <c r="I16" t="str">
        <v>1R2TU1H</v>
      </c>
      <c r="K16" t="str">
        <v>1R3WE</v>
      </c>
      <c r="L16" t="str">
        <v>1R3WE1H</v>
      </c>
      <c r="M16" t="str">
        <v>1R3WE2H</v>
      </c>
      <c r="N16" t="str">
        <v>1R3WE3H</v>
      </c>
      <c r="O16" t="str">
        <v>1R3WE4H</v>
      </c>
      <c r="P16" t="str">
        <v>1R3WE5H</v>
      </c>
      <c r="Q16" t="str">
        <v>1R3WE6H</v>
      </c>
      <c r="R16" t="str">
        <v>1R3WE7H</v>
      </c>
      <c r="S16" t="str">
        <v>1R3WE8H</v>
      </c>
    </row>
    <row r="17" spans="5:19" ht="15.75" customHeight="1" x14ac:dyDescent="0.35">
      <c r="E17" s="42"/>
      <c r="F17" s="42"/>
      <c r="G17" s="42"/>
      <c r="I17" t="str">
        <v>1R2TU2H</v>
      </c>
      <c r="K17" t="str">
        <v>1R4TH</v>
      </c>
      <c r="L17" t="str">
        <v>1R4TH1H</v>
      </c>
      <c r="M17" t="str">
        <v>1R4TH2H</v>
      </c>
      <c r="N17" t="str">
        <v>1R4TH3H</v>
      </c>
      <c r="O17" t="str">
        <v>1R4TH4H</v>
      </c>
      <c r="P17" t="str">
        <v>1R4TH5H</v>
      </c>
      <c r="Q17" t="str">
        <v>1R4TH6H</v>
      </c>
      <c r="R17" t="str">
        <v>1R4TH7H</v>
      </c>
      <c r="S17" t="str">
        <v>1R4TH8H</v>
      </c>
    </row>
    <row r="18" spans="5:19" ht="15.75" customHeight="1" x14ac:dyDescent="0.35">
      <c r="E18" s="43"/>
      <c r="F18" s="43"/>
      <c r="G18" s="43"/>
      <c r="I18" t="str">
        <v>1R2TU3H</v>
      </c>
      <c r="K18" t="str">
        <v>1R5FR</v>
      </c>
      <c r="L18" t="str">
        <v>1R5FR1H</v>
      </c>
      <c r="M18" t="str">
        <v>1R5FR2H</v>
      </c>
      <c r="N18" t="str">
        <v>1R5FR3H</v>
      </c>
      <c r="O18" t="str">
        <v>1R5FR4H</v>
      </c>
      <c r="P18" t="str">
        <v>1R5FR5H</v>
      </c>
      <c r="Q18" t="str">
        <v>1R5FR6H</v>
      </c>
      <c r="R18" t="str">
        <v>1R5FR7H</v>
      </c>
      <c r="S18" t="str">
        <v>1R5FR8H</v>
      </c>
    </row>
    <row r="19" spans="5:19" ht="15.75" customHeight="1" x14ac:dyDescent="0.35">
      <c r="E19" s="42"/>
      <c r="F19" s="42"/>
      <c r="G19" s="42"/>
      <c r="I19" t="str">
        <v>1R2TU4H</v>
      </c>
      <c r="K19" t="str">
        <v>1R6SA</v>
      </c>
      <c r="L19" t="str">
        <v>1R6SA1H</v>
      </c>
      <c r="M19" t="str">
        <v>1R6SA2H</v>
      </c>
      <c r="N19" t="str">
        <v>1R6SA3H</v>
      </c>
      <c r="O19" t="str">
        <v>1R6SA4H</v>
      </c>
      <c r="P19" t="str">
        <v>1R6SA5H</v>
      </c>
      <c r="Q19" t="str">
        <v>1R6SA6H</v>
      </c>
      <c r="R19" t="str">
        <v>1R6SA7H</v>
      </c>
      <c r="S19" t="str">
        <v>1R6SA8H</v>
      </c>
    </row>
    <row r="20" spans="5:19" ht="15.75" customHeight="1" x14ac:dyDescent="0.35">
      <c r="E20" s="43"/>
      <c r="F20" s="43"/>
      <c r="G20" s="43"/>
      <c r="I20" t="str">
        <v>1R2TU5H</v>
      </c>
      <c r="K20" t="str">
        <v>1R7SU</v>
      </c>
      <c r="L20" t="str">
        <v>1R7SU1H</v>
      </c>
      <c r="M20" t="str">
        <v>1R7SU2H</v>
      </c>
      <c r="N20" t="str">
        <v>1R7SU3H</v>
      </c>
      <c r="O20" t="str">
        <v>1R7SU4H</v>
      </c>
      <c r="P20" t="str">
        <v>1R7SU5H</v>
      </c>
      <c r="Q20" t="str">
        <v>1R7SU6H</v>
      </c>
      <c r="R20" t="str">
        <v>1R7SU7H</v>
      </c>
      <c r="S20" t="str">
        <v>1R7SU8H</v>
      </c>
    </row>
    <row r="21" spans="5:19" ht="15.75" customHeight="1" x14ac:dyDescent="0.35">
      <c r="E21" s="42"/>
      <c r="F21" s="42"/>
      <c r="G21" s="42"/>
      <c r="I21" t="str">
        <v>1R2TU6H</v>
      </c>
      <c r="K21" t="str">
        <v>2S1MO</v>
      </c>
      <c r="L21" t="str">
        <v>2S1MO1H</v>
      </c>
      <c r="M21" t="str">
        <v>2S1MO2H</v>
      </c>
      <c r="N21" t="str">
        <v>2S1MO3H</v>
      </c>
      <c r="O21" t="str">
        <v>2S1MO4H</v>
      </c>
      <c r="P21" t="str">
        <v>2S1MO5H</v>
      </c>
      <c r="Q21" t="str">
        <v>2S1MO6H</v>
      </c>
      <c r="R21" t="str">
        <v>2S1MO7H</v>
      </c>
      <c r="S21" t="str">
        <v>2S1MO8H</v>
      </c>
    </row>
    <row r="22" spans="5:19" ht="15.75" customHeight="1" x14ac:dyDescent="0.35">
      <c r="E22" s="43"/>
      <c r="F22" s="43"/>
      <c r="G22" s="43"/>
      <c r="I22" t="str">
        <v>1R2TU7H</v>
      </c>
      <c r="K22" t="str">
        <v>2S2TU</v>
      </c>
      <c r="L22" t="str">
        <v>2S2TU1H</v>
      </c>
      <c r="M22" t="str">
        <v>2S2TU2H</v>
      </c>
      <c r="N22" t="str">
        <v>2S2TU3H</v>
      </c>
      <c r="O22" t="str">
        <v>2S2TU4H</v>
      </c>
      <c r="P22" t="str">
        <v>2S2TU5H</v>
      </c>
      <c r="Q22" t="str">
        <v>2S2TU6H</v>
      </c>
      <c r="R22" t="str">
        <v>2S2TU7H</v>
      </c>
      <c r="S22" t="str">
        <v>2S2TU8H</v>
      </c>
    </row>
    <row r="23" spans="5:19" ht="15.75" customHeight="1" x14ac:dyDescent="0.35">
      <c r="E23" s="42"/>
      <c r="F23" s="42"/>
      <c r="G23" s="42"/>
      <c r="I23" t="str">
        <v>1R2TU8H</v>
      </c>
      <c r="K23" t="str">
        <v>2S3WE</v>
      </c>
      <c r="L23" t="str">
        <v>2S3WE1H</v>
      </c>
      <c r="M23" t="str">
        <v>2S3WE2H</v>
      </c>
      <c r="N23" t="str">
        <v>2S3WE3H</v>
      </c>
      <c r="O23" t="str">
        <v>2S3WE4H</v>
      </c>
      <c r="P23" t="str">
        <v>2S3WE5H</v>
      </c>
      <c r="Q23" t="str">
        <v>2S3WE6H</v>
      </c>
      <c r="R23" t="str">
        <v>2S3WE7H</v>
      </c>
      <c r="S23" t="str">
        <v>2S3WE8H</v>
      </c>
    </row>
    <row r="24" spans="5:19" ht="15.75" customHeight="1" x14ac:dyDescent="0.35">
      <c r="E24" s="43"/>
      <c r="F24" s="43"/>
      <c r="G24" s="43"/>
      <c r="I24" t="str">
        <v>1R3WE1H</v>
      </c>
      <c r="K24" t="str">
        <v>2S4TH</v>
      </c>
      <c r="L24" t="str">
        <v>2S4TH1H</v>
      </c>
      <c r="M24" t="str">
        <v>2S4TH2H</v>
      </c>
      <c r="N24" t="str">
        <v>2S4TH3H</v>
      </c>
      <c r="O24" t="str">
        <v>2S4TH4H</v>
      </c>
      <c r="P24" t="str">
        <v>2S4TH5H</v>
      </c>
      <c r="Q24" t="str">
        <v>2S4TH6H</v>
      </c>
      <c r="R24" t="str">
        <v>2S4TH7H</v>
      </c>
      <c r="S24" t="str">
        <v>2S4TH8H</v>
      </c>
    </row>
    <row r="25" spans="5:19" ht="15.75" customHeight="1" x14ac:dyDescent="0.35">
      <c r="E25" s="42"/>
      <c r="F25" s="42"/>
      <c r="G25" s="42"/>
      <c r="I25" t="str">
        <v>1R3WE2H</v>
      </c>
      <c r="K25" t="str">
        <v>2S5FR</v>
      </c>
      <c r="L25" t="str">
        <v>2S5FR1H</v>
      </c>
      <c r="M25" t="str">
        <v>2S5FR2H</v>
      </c>
      <c r="N25" t="str">
        <v>2S5FR3H</v>
      </c>
      <c r="O25" t="str">
        <v>2S5FR4H</v>
      </c>
      <c r="P25" t="str">
        <v>2S5FR5H</v>
      </c>
      <c r="Q25" t="str">
        <v>2S5FR6H</v>
      </c>
      <c r="R25" t="str">
        <v>2S5FR7H</v>
      </c>
      <c r="S25" t="str">
        <v>2S5FR8H</v>
      </c>
    </row>
    <row r="26" spans="5:19" ht="15.75" customHeight="1" x14ac:dyDescent="0.35">
      <c r="E26" s="43"/>
      <c r="F26" s="43"/>
      <c r="G26" s="43"/>
      <c r="I26" t="str">
        <v>1R3WE3H</v>
      </c>
      <c r="K26" t="str">
        <v>2S6SA</v>
      </c>
      <c r="L26" t="str">
        <v>2S6SA1H</v>
      </c>
      <c r="M26" t="str">
        <v>2S6SA2H</v>
      </c>
      <c r="N26" t="str">
        <v>2S6SA3H</v>
      </c>
      <c r="O26" t="str">
        <v>2S6SA4H</v>
      </c>
      <c r="P26" t="str">
        <v>2S6SA5H</v>
      </c>
      <c r="Q26" t="str">
        <v>2S6SA6H</v>
      </c>
      <c r="R26" t="str">
        <v>2S6SA7H</v>
      </c>
      <c r="S26" t="str">
        <v>2S6SA8H</v>
      </c>
    </row>
    <row r="27" spans="5:19" ht="15.75" customHeight="1" x14ac:dyDescent="0.35">
      <c r="E27" s="42"/>
      <c r="F27" s="42"/>
      <c r="G27" s="42"/>
      <c r="I27" t="str">
        <v>1R3WE4H</v>
      </c>
      <c r="K27" t="str">
        <v>2S7SU</v>
      </c>
      <c r="L27" t="str">
        <v>2S7SU1H</v>
      </c>
      <c r="M27" t="str">
        <v>2S7SU2H</v>
      </c>
      <c r="N27" t="str">
        <v>2S7SU3H</v>
      </c>
      <c r="O27" t="str">
        <v>2S7SU4H</v>
      </c>
      <c r="P27" t="str">
        <v>2S7SU5H</v>
      </c>
      <c r="Q27" t="str">
        <v>2S7SU6H</v>
      </c>
      <c r="R27" t="str">
        <v>2S7SU7H</v>
      </c>
      <c r="S27" t="str">
        <v>2S7SU8H</v>
      </c>
    </row>
    <row r="28" spans="5:19" ht="15.75" customHeight="1" x14ac:dyDescent="0.35">
      <c r="E28" s="43"/>
      <c r="F28" s="43"/>
      <c r="G28" s="43"/>
      <c r="I28" t="str">
        <v>1R3WE5H</v>
      </c>
      <c r="K28" t="str">
        <v>3F1MO</v>
      </c>
      <c r="L28" t="str">
        <v>3F1MO1H</v>
      </c>
      <c r="M28" t="str">
        <v>3F1MO2H</v>
      </c>
      <c r="N28" t="str">
        <v>3F1MO3H</v>
      </c>
      <c r="O28" t="str">
        <v>3F1MO4H</v>
      </c>
      <c r="P28" t="str">
        <v>3F1MO5H</v>
      </c>
      <c r="Q28" t="str">
        <v>3F1MO6H</v>
      </c>
      <c r="R28" t="str">
        <v>3F1MO7H</v>
      </c>
      <c r="S28" t="str">
        <v>3F1MO8H</v>
      </c>
    </row>
    <row r="29" spans="5:19" ht="15.75" customHeight="1" x14ac:dyDescent="0.35">
      <c r="E29" s="42"/>
      <c r="F29" s="42"/>
      <c r="G29" s="42"/>
      <c r="I29" t="str">
        <v>1R3WE6H</v>
      </c>
      <c r="K29" t="str">
        <v>3F2TU</v>
      </c>
      <c r="L29" t="str">
        <v>3F2TU1H</v>
      </c>
      <c r="M29" t="str">
        <v>3F2TU2H</v>
      </c>
      <c r="N29" t="str">
        <v>3F2TU3H</v>
      </c>
      <c r="O29" t="str">
        <v>3F2TU4H</v>
      </c>
      <c r="P29" t="str">
        <v>3F2TU5H</v>
      </c>
      <c r="Q29" t="str">
        <v>3F2TU6H</v>
      </c>
      <c r="R29" t="str">
        <v>3F2TU7H</v>
      </c>
      <c r="S29" t="str">
        <v>3F2TU8H</v>
      </c>
    </row>
    <row r="30" spans="5:19" ht="15.75" customHeight="1" x14ac:dyDescent="0.35">
      <c r="E30" s="43"/>
      <c r="F30" s="43"/>
      <c r="G30" s="43"/>
      <c r="I30" t="str">
        <v>1R3WE7H</v>
      </c>
      <c r="K30" t="str">
        <v>3F3WE</v>
      </c>
      <c r="L30" t="str">
        <v>3F3WE1H</v>
      </c>
      <c r="M30" t="str">
        <v>3F3WE2H</v>
      </c>
      <c r="N30" t="str">
        <v>3F3WE3H</v>
      </c>
      <c r="O30" t="str">
        <v>3F3WE4H</v>
      </c>
      <c r="P30" t="str">
        <v>3F3WE5H</v>
      </c>
      <c r="Q30" t="str">
        <v>3F3WE6H</v>
      </c>
      <c r="R30" t="str">
        <v>3F3WE7H</v>
      </c>
      <c r="S30" t="str">
        <v>3F3WE8H</v>
      </c>
    </row>
    <row r="31" spans="5:19" ht="15.75" customHeight="1" x14ac:dyDescent="0.35">
      <c r="E31" s="42"/>
      <c r="F31" s="42"/>
      <c r="G31" s="42"/>
      <c r="I31" t="str">
        <v>1R3WE8H</v>
      </c>
      <c r="K31" t="str">
        <v>3F4TH</v>
      </c>
      <c r="L31" t="str">
        <v>3F4TH1H</v>
      </c>
      <c r="M31" t="str">
        <v>3F4TH2H</v>
      </c>
      <c r="N31" t="str">
        <v>3F4TH3H</v>
      </c>
      <c r="O31" t="str">
        <v>3F4TH4H</v>
      </c>
      <c r="P31" t="str">
        <v>3F4TH5H</v>
      </c>
      <c r="Q31" t="str">
        <v>3F4TH6H</v>
      </c>
      <c r="R31" t="str">
        <v>3F4TH7H</v>
      </c>
      <c r="S31" t="str">
        <v>3F4TH8H</v>
      </c>
    </row>
    <row r="32" spans="5:19" ht="15.75" customHeight="1" x14ac:dyDescent="0.35">
      <c r="E32" s="43"/>
      <c r="F32" s="43"/>
      <c r="G32" s="43"/>
      <c r="I32" t="str">
        <v>1R4TH1H</v>
      </c>
      <c r="K32" t="str">
        <v>3F5FR</v>
      </c>
      <c r="L32" t="str">
        <v>3F5FR1H</v>
      </c>
      <c r="M32" t="str">
        <v>3F5FR2H</v>
      </c>
      <c r="N32" t="str">
        <v>3F5FR3H</v>
      </c>
      <c r="O32" t="str">
        <v>3F5FR4H</v>
      </c>
      <c r="P32" t="str">
        <v>3F5FR5H</v>
      </c>
      <c r="Q32" t="str">
        <v>3F5FR6H</v>
      </c>
      <c r="R32" t="str">
        <v>3F5FR7H</v>
      </c>
      <c r="S32" t="str">
        <v>3F5FR8H</v>
      </c>
    </row>
    <row r="33" spans="5:19" ht="15.75" customHeight="1" x14ac:dyDescent="0.35">
      <c r="E33" s="42"/>
      <c r="F33" s="42"/>
      <c r="G33" s="42"/>
      <c r="I33" t="str">
        <v>1R4TH2H</v>
      </c>
      <c r="K33" t="str">
        <v>3F6SA</v>
      </c>
      <c r="L33" t="str">
        <v>3F6SA1H</v>
      </c>
      <c r="M33" t="str">
        <v>3F6SA2H</v>
      </c>
      <c r="N33" t="str">
        <v>3F6SA3H</v>
      </c>
      <c r="O33" t="str">
        <v>3F6SA4H</v>
      </c>
      <c r="P33" t="str">
        <v>3F6SA5H</v>
      </c>
      <c r="Q33" t="str">
        <v>3F6SA6H</v>
      </c>
      <c r="R33" t="str">
        <v>3F6SA7H</v>
      </c>
      <c r="S33" t="str">
        <v>3F6SA8H</v>
      </c>
    </row>
    <row r="34" spans="5:19" ht="15.75" customHeight="1" x14ac:dyDescent="0.35">
      <c r="E34" s="43"/>
      <c r="F34" s="43"/>
      <c r="G34" s="43"/>
      <c r="I34" t="str">
        <v>1R4TH3H</v>
      </c>
      <c r="K34" t="str">
        <v>3F7SU</v>
      </c>
      <c r="L34" t="str">
        <v>3F7SU1H</v>
      </c>
      <c r="M34" t="str">
        <v>3F7SU2H</v>
      </c>
      <c r="N34" t="str">
        <v>3F7SU3H</v>
      </c>
      <c r="O34" t="str">
        <v>3F7SU4H</v>
      </c>
      <c r="P34" t="str">
        <v>3F7SU5H</v>
      </c>
      <c r="Q34" t="str">
        <v>3F7SU6H</v>
      </c>
      <c r="R34" t="str">
        <v>3F7SU7H</v>
      </c>
      <c r="S34" t="str">
        <v>3F7SU8H</v>
      </c>
    </row>
    <row r="35" spans="5:19" ht="15.75" customHeight="1" x14ac:dyDescent="0.35">
      <c r="E35" s="42"/>
      <c r="F35" s="42"/>
      <c r="G35" s="42"/>
      <c r="I35" t="str">
        <v>1R4TH4H</v>
      </c>
      <c r="K35" t="str">
        <v>4W1MO</v>
      </c>
      <c r="L35" t="str">
        <v>4W1MO1H</v>
      </c>
      <c r="M35" t="str">
        <v>4W1MO2H</v>
      </c>
      <c r="N35" t="str">
        <v>4W1MO3H</v>
      </c>
      <c r="O35" t="str">
        <v>4W1MO4H</v>
      </c>
      <c r="P35" t="str">
        <v>4W1MO5H</v>
      </c>
      <c r="Q35" t="str">
        <v>4W1MO6H</v>
      </c>
      <c r="R35" t="str">
        <v>4W1MO7H</v>
      </c>
      <c r="S35" t="str">
        <v>4W1MO8H</v>
      </c>
    </row>
    <row r="36" spans="5:19" ht="15.75" customHeight="1" x14ac:dyDescent="0.35">
      <c r="E36" s="43"/>
      <c r="F36" s="43"/>
      <c r="G36" s="43"/>
      <c r="I36" t="str">
        <v>1R4TH5H</v>
      </c>
      <c r="K36" t="str">
        <v>4W2TU</v>
      </c>
      <c r="L36" t="str">
        <v>4W2TU1H</v>
      </c>
      <c r="M36" t="str">
        <v>4W2TU2H</v>
      </c>
      <c r="N36" t="str">
        <v>4W2TU3H</v>
      </c>
      <c r="O36" t="str">
        <v>4W2TU4H</v>
      </c>
      <c r="P36" t="str">
        <v>4W2TU5H</v>
      </c>
      <c r="Q36" t="str">
        <v>4W2TU6H</v>
      </c>
      <c r="R36" t="str">
        <v>4W2TU7H</v>
      </c>
      <c r="S36" t="str">
        <v>4W2TU8H</v>
      </c>
    </row>
    <row r="37" spans="5:19" ht="15.75" customHeight="1" x14ac:dyDescent="0.35">
      <c r="E37" s="42"/>
      <c r="F37" s="42"/>
      <c r="G37" s="42"/>
      <c r="I37" t="str">
        <v>1R4TH6H</v>
      </c>
      <c r="K37" t="str">
        <v>4W3WE</v>
      </c>
      <c r="L37" t="str">
        <v>4W3WE1H</v>
      </c>
      <c r="M37" t="str">
        <v>4W3WE2H</v>
      </c>
      <c r="N37" t="str">
        <v>4W3WE3H</v>
      </c>
      <c r="O37" t="str">
        <v>4W3WE4H</v>
      </c>
      <c r="P37" t="str">
        <v>4W3WE5H</v>
      </c>
      <c r="Q37" t="str">
        <v>4W3WE6H</v>
      </c>
      <c r="R37" t="str">
        <v>4W3WE7H</v>
      </c>
      <c r="S37" t="str">
        <v>4W3WE8H</v>
      </c>
    </row>
    <row r="38" spans="5:19" ht="15.75" customHeight="1" x14ac:dyDescent="0.35">
      <c r="E38" s="43"/>
      <c r="F38" s="43"/>
      <c r="G38" s="43"/>
      <c r="I38" t="str">
        <v>1R4TH7H</v>
      </c>
      <c r="K38" t="str">
        <v>4W4TH</v>
      </c>
      <c r="L38" t="str">
        <v>4W4TH1H</v>
      </c>
      <c r="M38" t="str">
        <v>4W4TH2H</v>
      </c>
      <c r="N38" t="str">
        <v>4W4TH3H</v>
      </c>
      <c r="O38" t="str">
        <v>4W4TH4H</v>
      </c>
      <c r="P38" t="str">
        <v>4W4TH5H</v>
      </c>
      <c r="Q38" t="str">
        <v>4W4TH6H</v>
      </c>
      <c r="R38" t="str">
        <v>4W4TH7H</v>
      </c>
      <c r="S38" t="str">
        <v>4W4TH8H</v>
      </c>
    </row>
    <row r="39" spans="5:19" ht="15.75" customHeight="1" x14ac:dyDescent="0.35">
      <c r="E39" s="42"/>
      <c r="F39" s="42"/>
      <c r="G39" s="42"/>
      <c r="I39" t="str">
        <v>1R4TH8H</v>
      </c>
      <c r="K39" t="str">
        <v>4W5FR</v>
      </c>
      <c r="L39" t="str">
        <v>4W5FR1H</v>
      </c>
      <c r="M39" t="str">
        <v>4W5FR2H</v>
      </c>
      <c r="N39" t="str">
        <v>4W5FR3H</v>
      </c>
      <c r="O39" t="str">
        <v>4W5FR4H</v>
      </c>
      <c r="P39" t="str">
        <v>4W5FR5H</v>
      </c>
      <c r="Q39" t="str">
        <v>4W5FR6H</v>
      </c>
      <c r="R39" t="str">
        <v>4W5FR7H</v>
      </c>
      <c r="S39" t="str">
        <v>4W5FR8H</v>
      </c>
    </row>
    <row r="40" spans="5:19" ht="15.75" customHeight="1" x14ac:dyDescent="0.35">
      <c r="E40" s="43"/>
      <c r="F40" s="43"/>
      <c r="G40" s="43"/>
      <c r="I40" t="str">
        <v>1R5FR1H</v>
      </c>
      <c r="K40" t="str">
        <v>4W6SA</v>
      </c>
      <c r="L40" t="str">
        <v>4W6SA1H</v>
      </c>
      <c r="M40" t="str">
        <v>4W6SA2H</v>
      </c>
      <c r="N40" t="str">
        <v>4W6SA3H</v>
      </c>
      <c r="O40" t="str">
        <v>4W6SA4H</v>
      </c>
      <c r="P40" t="str">
        <v>4W6SA5H</v>
      </c>
      <c r="Q40" t="str">
        <v>4W6SA6H</v>
      </c>
      <c r="R40" t="str">
        <v>4W6SA7H</v>
      </c>
      <c r="S40" t="str">
        <v>4W6SA8H</v>
      </c>
    </row>
    <row r="41" spans="5:19" ht="15.75" customHeight="1" x14ac:dyDescent="0.35">
      <c r="E41" s="42"/>
      <c r="F41" s="42"/>
      <c r="G41" s="42"/>
      <c r="I41" t="str">
        <v>1R5FR2H</v>
      </c>
      <c r="K41" t="str">
        <v>4W7SU</v>
      </c>
      <c r="L41" t="str">
        <v>4W7SU1H</v>
      </c>
      <c r="M41" t="str">
        <v>4W7SU2H</v>
      </c>
      <c r="N41" t="str">
        <v>4W7SU3H</v>
      </c>
      <c r="O41" t="str">
        <v>4W7SU4H</v>
      </c>
      <c r="P41" t="str">
        <v>4W7SU5H</v>
      </c>
      <c r="Q41" t="str">
        <v>4W7SU6H</v>
      </c>
      <c r="R41" t="str">
        <v>4W7SU7H</v>
      </c>
      <c r="S41" t="str">
        <v>4W7SU8H</v>
      </c>
    </row>
    <row r="42" spans="5:19" ht="15.75" customHeight="1" x14ac:dyDescent="0.35">
      <c r="E42" s="43"/>
      <c r="F42" s="43"/>
      <c r="G42" s="43"/>
      <c r="I42" t="str">
        <v>1R5FR3H</v>
      </c>
    </row>
    <row r="43" spans="5:19" ht="15.75" customHeight="1" x14ac:dyDescent="0.35">
      <c r="E43" s="42"/>
      <c r="F43" s="42"/>
      <c r="G43" s="42"/>
      <c r="I43" t="str">
        <v>1R5FR4H</v>
      </c>
    </row>
    <row r="44" spans="5:19" ht="15.75" customHeight="1" x14ac:dyDescent="0.35">
      <c r="E44" s="43"/>
      <c r="F44" s="43"/>
      <c r="G44" s="43"/>
      <c r="I44" t="str">
        <v>1R5FR5H</v>
      </c>
    </row>
    <row r="45" spans="5:19" ht="15.75" customHeight="1" x14ac:dyDescent="0.35">
      <c r="E45" s="42"/>
      <c r="F45" s="42"/>
      <c r="G45" s="42"/>
      <c r="I45" t="str">
        <v>1R5FR6H</v>
      </c>
    </row>
    <row r="46" spans="5:19" ht="15.75" customHeight="1" x14ac:dyDescent="0.35">
      <c r="E46" s="43"/>
      <c r="F46" s="43"/>
      <c r="G46" s="43"/>
      <c r="I46" t="str">
        <v>1R5FR7H</v>
      </c>
    </row>
    <row r="47" spans="5:19" ht="15.75" customHeight="1" x14ac:dyDescent="0.35">
      <c r="E47" s="42"/>
      <c r="F47" s="42"/>
      <c r="G47" s="42"/>
      <c r="I47" t="str">
        <v>1R5FR8H</v>
      </c>
    </row>
    <row r="48" spans="5:19" ht="15.75" customHeight="1" x14ac:dyDescent="0.35">
      <c r="E48" s="43"/>
      <c r="F48" s="43"/>
      <c r="G48" s="43"/>
      <c r="I48" t="str">
        <v>1R6SA1H</v>
      </c>
    </row>
    <row r="49" spans="5:9" ht="15.75" customHeight="1" x14ac:dyDescent="0.35">
      <c r="E49" s="42"/>
      <c r="F49" s="42"/>
      <c r="G49" s="42"/>
      <c r="I49" t="str">
        <v>1R6SA2H</v>
      </c>
    </row>
    <row r="50" spans="5:9" ht="15.75" customHeight="1" x14ac:dyDescent="0.35">
      <c r="E50" s="43"/>
      <c r="F50" s="43"/>
      <c r="G50" s="43"/>
      <c r="I50" t="str">
        <v>1R6SA3H</v>
      </c>
    </row>
    <row r="51" spans="5:9" ht="15.75" customHeight="1" x14ac:dyDescent="0.35">
      <c r="E51" s="42"/>
      <c r="F51" s="42"/>
      <c r="G51" s="42"/>
      <c r="I51" t="str">
        <v>1R6SA4H</v>
      </c>
    </row>
    <row r="52" spans="5:9" ht="15.75" customHeight="1" x14ac:dyDescent="0.35">
      <c r="E52" s="43"/>
      <c r="F52" s="43"/>
      <c r="G52" s="43"/>
      <c r="I52" t="str">
        <v>1R6SA5H</v>
      </c>
    </row>
    <row r="53" spans="5:9" ht="15.75" customHeight="1" x14ac:dyDescent="0.35">
      <c r="E53" s="42"/>
      <c r="F53" s="42"/>
      <c r="G53" s="42"/>
      <c r="I53" t="str">
        <v>1R6SA6H</v>
      </c>
    </row>
    <row r="54" spans="5:9" ht="15.75" customHeight="1" x14ac:dyDescent="0.35">
      <c r="E54" s="43"/>
      <c r="F54" s="43"/>
      <c r="G54" s="43"/>
      <c r="I54" t="str">
        <v>1R6SA7H</v>
      </c>
    </row>
    <row r="55" spans="5:9" ht="15.75" customHeight="1" x14ac:dyDescent="0.35">
      <c r="E55" s="42"/>
      <c r="F55" s="42"/>
      <c r="G55" s="42"/>
      <c r="I55" t="str">
        <v>1R6SA8H</v>
      </c>
    </row>
    <row r="56" spans="5:9" ht="15.75" customHeight="1" x14ac:dyDescent="0.35">
      <c r="E56" s="43"/>
      <c r="F56" s="43"/>
      <c r="G56" s="43"/>
      <c r="I56" t="str">
        <v>1R7SU1H</v>
      </c>
    </row>
    <row r="57" spans="5:9" ht="15.75" customHeight="1" x14ac:dyDescent="0.35">
      <c r="E57" s="42"/>
      <c r="F57" s="42"/>
      <c r="G57" s="42"/>
      <c r="I57" t="str">
        <v>1R7SU2H</v>
      </c>
    </row>
    <row r="58" spans="5:9" ht="15.75" customHeight="1" x14ac:dyDescent="0.35">
      <c r="E58" s="43"/>
      <c r="F58" s="43"/>
      <c r="G58" s="43"/>
      <c r="I58" t="str">
        <v>1R7SU3H</v>
      </c>
    </row>
    <row r="59" spans="5:9" ht="15.75" customHeight="1" x14ac:dyDescent="0.35">
      <c r="E59" s="42"/>
      <c r="F59" s="42"/>
      <c r="G59" s="42"/>
      <c r="I59" t="str">
        <v>1R7SU4H</v>
      </c>
    </row>
    <row r="60" spans="5:9" ht="15.75" customHeight="1" x14ac:dyDescent="0.35">
      <c r="E60" s="43"/>
      <c r="F60" s="43"/>
      <c r="G60" s="43"/>
      <c r="I60" t="str">
        <v>1R7SU5H</v>
      </c>
    </row>
    <row r="61" spans="5:9" ht="15.75" customHeight="1" x14ac:dyDescent="0.35">
      <c r="E61" s="42"/>
      <c r="F61" s="42"/>
      <c r="G61" s="42"/>
      <c r="I61" t="str">
        <v>1R7SU6H</v>
      </c>
    </row>
    <row r="62" spans="5:9" ht="15.75" customHeight="1" x14ac:dyDescent="0.35">
      <c r="E62" s="43"/>
      <c r="F62" s="43"/>
      <c r="G62" s="43"/>
      <c r="I62" t="str">
        <v>1R7SU7H</v>
      </c>
    </row>
    <row r="63" spans="5:9" ht="15.75" customHeight="1" thickBot="1" x14ac:dyDescent="0.4">
      <c r="E63" s="44"/>
      <c r="F63" s="44"/>
      <c r="G63" s="44"/>
      <c r="I63" t="str">
        <v>1R7SU8H</v>
      </c>
    </row>
    <row r="64" spans="5:9" x14ac:dyDescent="0.35">
      <c r="I64" t="str">
        <v>2S1MO1H</v>
      </c>
    </row>
    <row r="65" spans="9:9" x14ac:dyDescent="0.35">
      <c r="I65" t="str">
        <v>2S1MO2H</v>
      </c>
    </row>
    <row r="66" spans="9:9" x14ac:dyDescent="0.35">
      <c r="I66" t="str">
        <v>2S1MO3H</v>
      </c>
    </row>
    <row r="67" spans="9:9" x14ac:dyDescent="0.35">
      <c r="I67" t="str">
        <v>2S1MO4H</v>
      </c>
    </row>
    <row r="68" spans="9:9" x14ac:dyDescent="0.35">
      <c r="I68" t="str">
        <v>2S1MO5H</v>
      </c>
    </row>
    <row r="69" spans="9:9" x14ac:dyDescent="0.35">
      <c r="I69" t="str">
        <v>2S1MO6H</v>
      </c>
    </row>
    <row r="70" spans="9:9" x14ac:dyDescent="0.35">
      <c r="I70" t="str">
        <v>2S1MO7H</v>
      </c>
    </row>
    <row r="71" spans="9:9" x14ac:dyDescent="0.35">
      <c r="I71" t="str">
        <v>2S1MO8H</v>
      </c>
    </row>
    <row r="72" spans="9:9" x14ac:dyDescent="0.35">
      <c r="I72" t="str">
        <v>2S2TU1H</v>
      </c>
    </row>
    <row r="73" spans="9:9" x14ac:dyDescent="0.35">
      <c r="I73" t="str">
        <v>2S2TU2H</v>
      </c>
    </row>
    <row r="74" spans="9:9" x14ac:dyDescent="0.35">
      <c r="I74" t="str">
        <v>2S2TU3H</v>
      </c>
    </row>
    <row r="75" spans="9:9" x14ac:dyDescent="0.35">
      <c r="I75" t="str">
        <v>2S2TU4H</v>
      </c>
    </row>
    <row r="76" spans="9:9" x14ac:dyDescent="0.35">
      <c r="I76" t="str">
        <v>2S2TU5H</v>
      </c>
    </row>
    <row r="77" spans="9:9" x14ac:dyDescent="0.35">
      <c r="I77" t="str">
        <v>2S2TU6H</v>
      </c>
    </row>
    <row r="78" spans="9:9" x14ac:dyDescent="0.35">
      <c r="I78" t="str">
        <v>2S2TU7H</v>
      </c>
    </row>
    <row r="79" spans="9:9" x14ac:dyDescent="0.35">
      <c r="I79" t="str">
        <v>2S2TU8H</v>
      </c>
    </row>
    <row r="80" spans="9:9" x14ac:dyDescent="0.35">
      <c r="I80" t="str">
        <v>2S3WE1H</v>
      </c>
    </row>
    <row r="81" spans="9:9" x14ac:dyDescent="0.35">
      <c r="I81" t="str">
        <v>2S3WE2H</v>
      </c>
    </row>
    <row r="82" spans="9:9" x14ac:dyDescent="0.35">
      <c r="I82" t="str">
        <v>2S3WE3H</v>
      </c>
    </row>
    <row r="83" spans="9:9" x14ac:dyDescent="0.35">
      <c r="I83" t="str">
        <v>2S3WE4H</v>
      </c>
    </row>
    <row r="84" spans="9:9" x14ac:dyDescent="0.35">
      <c r="I84" t="str">
        <v>2S3WE5H</v>
      </c>
    </row>
    <row r="85" spans="9:9" x14ac:dyDescent="0.35">
      <c r="I85" t="str">
        <v>2S3WE6H</v>
      </c>
    </row>
    <row r="86" spans="9:9" x14ac:dyDescent="0.35">
      <c r="I86" t="str">
        <v>2S3WE7H</v>
      </c>
    </row>
    <row r="87" spans="9:9" x14ac:dyDescent="0.35">
      <c r="I87" t="str">
        <v>2S3WE8H</v>
      </c>
    </row>
    <row r="88" spans="9:9" x14ac:dyDescent="0.35">
      <c r="I88" t="str">
        <v>2S4TH1H</v>
      </c>
    </row>
    <row r="89" spans="9:9" x14ac:dyDescent="0.35">
      <c r="I89" t="str">
        <v>2S4TH2H</v>
      </c>
    </row>
    <row r="90" spans="9:9" x14ac:dyDescent="0.35">
      <c r="I90" t="str">
        <v>2S4TH3H</v>
      </c>
    </row>
    <row r="91" spans="9:9" x14ac:dyDescent="0.35">
      <c r="I91" t="str">
        <v>2S4TH4H</v>
      </c>
    </row>
    <row r="92" spans="9:9" x14ac:dyDescent="0.35">
      <c r="I92" t="str">
        <v>2S4TH5H</v>
      </c>
    </row>
    <row r="93" spans="9:9" x14ac:dyDescent="0.35">
      <c r="I93" t="str">
        <v>2S4TH6H</v>
      </c>
    </row>
    <row r="94" spans="9:9" x14ac:dyDescent="0.35">
      <c r="I94" t="str">
        <v>2S4TH7H</v>
      </c>
    </row>
    <row r="95" spans="9:9" x14ac:dyDescent="0.35">
      <c r="I95" t="str">
        <v>2S4TH8H</v>
      </c>
    </row>
    <row r="96" spans="9:9" x14ac:dyDescent="0.35">
      <c r="I96" t="str">
        <v>2S5FR1H</v>
      </c>
    </row>
    <row r="97" spans="9:9" x14ac:dyDescent="0.35">
      <c r="I97" t="str">
        <v>2S5FR2H</v>
      </c>
    </row>
    <row r="98" spans="9:9" x14ac:dyDescent="0.35">
      <c r="I98" t="str">
        <v>2S5FR3H</v>
      </c>
    </row>
    <row r="99" spans="9:9" x14ac:dyDescent="0.35">
      <c r="I99" t="str">
        <v>2S5FR4H</v>
      </c>
    </row>
    <row r="100" spans="9:9" x14ac:dyDescent="0.35">
      <c r="I100" t="str">
        <v>2S5FR5H</v>
      </c>
    </row>
    <row r="101" spans="9:9" x14ac:dyDescent="0.35">
      <c r="I101" t="str">
        <v>2S5FR6H</v>
      </c>
    </row>
    <row r="102" spans="9:9" x14ac:dyDescent="0.35">
      <c r="I102" t="str">
        <v>2S5FR7H</v>
      </c>
    </row>
    <row r="103" spans="9:9" x14ac:dyDescent="0.35">
      <c r="I103" t="str">
        <v>2S5FR8H</v>
      </c>
    </row>
    <row r="104" spans="9:9" x14ac:dyDescent="0.35">
      <c r="I104" t="str">
        <v>2S6SA1H</v>
      </c>
    </row>
    <row r="105" spans="9:9" x14ac:dyDescent="0.35">
      <c r="I105" t="str">
        <v>2S6SA2H</v>
      </c>
    </row>
    <row r="106" spans="9:9" x14ac:dyDescent="0.35">
      <c r="I106" t="str">
        <v>2S6SA3H</v>
      </c>
    </row>
    <row r="107" spans="9:9" x14ac:dyDescent="0.35">
      <c r="I107" t="str">
        <v>2S6SA4H</v>
      </c>
    </row>
    <row r="108" spans="9:9" x14ac:dyDescent="0.35">
      <c r="I108" t="str">
        <v>2S6SA5H</v>
      </c>
    </row>
    <row r="109" spans="9:9" x14ac:dyDescent="0.35">
      <c r="I109" t="str">
        <v>2S6SA6H</v>
      </c>
    </row>
    <row r="110" spans="9:9" x14ac:dyDescent="0.35">
      <c r="I110" t="str">
        <v>2S6SA7H</v>
      </c>
    </row>
    <row r="111" spans="9:9" x14ac:dyDescent="0.35">
      <c r="I111" t="str">
        <v>2S6SA8H</v>
      </c>
    </row>
    <row r="112" spans="9:9" x14ac:dyDescent="0.35">
      <c r="I112" t="str">
        <v>2S7SU1H</v>
      </c>
    </row>
    <row r="113" spans="9:9" x14ac:dyDescent="0.35">
      <c r="I113" t="str">
        <v>2S7SU2H</v>
      </c>
    </row>
    <row r="114" spans="9:9" x14ac:dyDescent="0.35">
      <c r="I114" t="str">
        <v>2S7SU3H</v>
      </c>
    </row>
    <row r="115" spans="9:9" x14ac:dyDescent="0.35">
      <c r="I115" t="str">
        <v>2S7SU4H</v>
      </c>
    </row>
    <row r="116" spans="9:9" x14ac:dyDescent="0.35">
      <c r="I116" t="str">
        <v>2S7SU5H</v>
      </c>
    </row>
    <row r="117" spans="9:9" x14ac:dyDescent="0.35">
      <c r="I117" t="str">
        <v>2S7SU6H</v>
      </c>
    </row>
    <row r="118" spans="9:9" x14ac:dyDescent="0.35">
      <c r="I118" t="str">
        <v>2S7SU7H</v>
      </c>
    </row>
    <row r="119" spans="9:9" x14ac:dyDescent="0.35">
      <c r="I119" t="str">
        <v>2S7SU8H</v>
      </c>
    </row>
    <row r="120" spans="9:9" x14ac:dyDescent="0.35">
      <c r="I120" t="str">
        <v>3F1MO1H</v>
      </c>
    </row>
    <row r="121" spans="9:9" x14ac:dyDescent="0.35">
      <c r="I121" t="str">
        <v>3F1MO2H</v>
      </c>
    </row>
    <row r="122" spans="9:9" x14ac:dyDescent="0.35">
      <c r="I122" t="str">
        <v>3F1MO3H</v>
      </c>
    </row>
    <row r="123" spans="9:9" x14ac:dyDescent="0.35">
      <c r="I123" t="str">
        <v>3F1MO4H</v>
      </c>
    </row>
    <row r="124" spans="9:9" x14ac:dyDescent="0.35">
      <c r="I124" t="str">
        <v>3F1MO5H</v>
      </c>
    </row>
    <row r="125" spans="9:9" x14ac:dyDescent="0.35">
      <c r="I125" t="str">
        <v>3F1MO6H</v>
      </c>
    </row>
    <row r="126" spans="9:9" x14ac:dyDescent="0.35">
      <c r="I126" t="str">
        <v>3F1MO7H</v>
      </c>
    </row>
    <row r="127" spans="9:9" x14ac:dyDescent="0.35">
      <c r="I127" t="str">
        <v>3F1MO8H</v>
      </c>
    </row>
    <row r="128" spans="9:9" x14ac:dyDescent="0.35">
      <c r="I128" t="str">
        <v>3F2TU1H</v>
      </c>
    </row>
    <row r="129" spans="9:9" x14ac:dyDescent="0.35">
      <c r="I129" t="str">
        <v>3F2TU2H</v>
      </c>
    </row>
    <row r="130" spans="9:9" x14ac:dyDescent="0.35">
      <c r="I130" t="str">
        <v>3F2TU3H</v>
      </c>
    </row>
    <row r="131" spans="9:9" x14ac:dyDescent="0.35">
      <c r="I131" t="str">
        <v>3F2TU4H</v>
      </c>
    </row>
    <row r="132" spans="9:9" x14ac:dyDescent="0.35">
      <c r="I132" t="str">
        <v>3F2TU5H</v>
      </c>
    </row>
    <row r="133" spans="9:9" x14ac:dyDescent="0.35">
      <c r="I133" t="str">
        <v>3F2TU6H</v>
      </c>
    </row>
    <row r="134" spans="9:9" x14ac:dyDescent="0.35">
      <c r="I134" t="str">
        <v>3F2TU7H</v>
      </c>
    </row>
    <row r="135" spans="9:9" x14ac:dyDescent="0.35">
      <c r="I135" t="str">
        <v>3F2TU8H</v>
      </c>
    </row>
    <row r="136" spans="9:9" x14ac:dyDescent="0.35">
      <c r="I136" t="str">
        <v>3F3WE1H</v>
      </c>
    </row>
    <row r="137" spans="9:9" x14ac:dyDescent="0.35">
      <c r="I137" t="str">
        <v>3F3WE2H</v>
      </c>
    </row>
    <row r="138" spans="9:9" x14ac:dyDescent="0.35">
      <c r="I138" t="str">
        <v>3F3WE3H</v>
      </c>
    </row>
    <row r="139" spans="9:9" x14ac:dyDescent="0.35">
      <c r="I139" t="str">
        <v>3F3WE4H</v>
      </c>
    </row>
    <row r="140" spans="9:9" x14ac:dyDescent="0.35">
      <c r="I140" t="str">
        <v>3F3WE5H</v>
      </c>
    </row>
    <row r="141" spans="9:9" x14ac:dyDescent="0.35">
      <c r="I141" t="str">
        <v>3F3WE6H</v>
      </c>
    </row>
    <row r="142" spans="9:9" x14ac:dyDescent="0.35">
      <c r="I142" t="str">
        <v>3F3WE7H</v>
      </c>
    </row>
    <row r="143" spans="9:9" x14ac:dyDescent="0.35">
      <c r="I143" t="str">
        <v>3F3WE8H</v>
      </c>
    </row>
    <row r="144" spans="9:9" x14ac:dyDescent="0.35">
      <c r="I144" t="str">
        <v>3F4TH1H</v>
      </c>
    </row>
    <row r="145" spans="9:9" x14ac:dyDescent="0.35">
      <c r="I145" t="str">
        <v>3F4TH2H</v>
      </c>
    </row>
    <row r="146" spans="9:9" x14ac:dyDescent="0.35">
      <c r="I146" t="str">
        <v>3F4TH3H</v>
      </c>
    </row>
    <row r="147" spans="9:9" x14ac:dyDescent="0.35">
      <c r="I147" t="str">
        <v>3F4TH4H</v>
      </c>
    </row>
    <row r="148" spans="9:9" x14ac:dyDescent="0.35">
      <c r="I148" t="str">
        <v>3F4TH5H</v>
      </c>
    </row>
    <row r="149" spans="9:9" x14ac:dyDescent="0.35">
      <c r="I149" t="str">
        <v>3F4TH6H</v>
      </c>
    </row>
    <row r="150" spans="9:9" x14ac:dyDescent="0.35">
      <c r="I150" t="str">
        <v>3F4TH7H</v>
      </c>
    </row>
    <row r="151" spans="9:9" x14ac:dyDescent="0.35">
      <c r="I151" t="str">
        <v>3F4TH8H</v>
      </c>
    </row>
    <row r="152" spans="9:9" x14ac:dyDescent="0.35">
      <c r="I152" t="str">
        <v>3F5FR1H</v>
      </c>
    </row>
    <row r="153" spans="9:9" x14ac:dyDescent="0.35">
      <c r="I153" t="str">
        <v>3F5FR2H</v>
      </c>
    </row>
    <row r="154" spans="9:9" x14ac:dyDescent="0.35">
      <c r="I154" t="str">
        <v>3F5FR3H</v>
      </c>
    </row>
    <row r="155" spans="9:9" x14ac:dyDescent="0.35">
      <c r="I155" t="str">
        <v>3F5FR4H</v>
      </c>
    </row>
    <row r="156" spans="9:9" x14ac:dyDescent="0.35">
      <c r="I156" t="str">
        <v>3F5FR5H</v>
      </c>
    </row>
    <row r="157" spans="9:9" x14ac:dyDescent="0.35">
      <c r="I157" t="str">
        <v>3F5FR6H</v>
      </c>
    </row>
    <row r="158" spans="9:9" x14ac:dyDescent="0.35">
      <c r="I158" t="str">
        <v>3F5FR7H</v>
      </c>
    </row>
    <row r="159" spans="9:9" x14ac:dyDescent="0.35">
      <c r="I159" t="str">
        <v>3F5FR8H</v>
      </c>
    </row>
    <row r="160" spans="9:9" x14ac:dyDescent="0.35">
      <c r="I160" t="str">
        <v>3F6SA1H</v>
      </c>
    </row>
    <row r="161" spans="9:9" x14ac:dyDescent="0.35">
      <c r="I161" t="str">
        <v>3F6SA2H</v>
      </c>
    </row>
    <row r="162" spans="9:9" x14ac:dyDescent="0.35">
      <c r="I162" t="str">
        <v>3F6SA3H</v>
      </c>
    </row>
    <row r="163" spans="9:9" x14ac:dyDescent="0.35">
      <c r="I163" t="str">
        <v>3F6SA4H</v>
      </c>
    </row>
    <row r="164" spans="9:9" x14ac:dyDescent="0.35">
      <c r="I164" t="str">
        <v>3F6SA5H</v>
      </c>
    </row>
    <row r="165" spans="9:9" x14ac:dyDescent="0.35">
      <c r="I165" t="str">
        <v>3F6SA6H</v>
      </c>
    </row>
    <row r="166" spans="9:9" x14ac:dyDescent="0.35">
      <c r="I166" t="str">
        <v>3F6SA7H</v>
      </c>
    </row>
    <row r="167" spans="9:9" x14ac:dyDescent="0.35">
      <c r="I167" t="str">
        <v>3F6SA8H</v>
      </c>
    </row>
    <row r="168" spans="9:9" x14ac:dyDescent="0.35">
      <c r="I168" t="str">
        <v>3F7SU1H</v>
      </c>
    </row>
    <row r="169" spans="9:9" x14ac:dyDescent="0.35">
      <c r="I169" t="str">
        <v>3F7SU2H</v>
      </c>
    </row>
    <row r="170" spans="9:9" x14ac:dyDescent="0.35">
      <c r="I170" t="str">
        <v>3F7SU3H</v>
      </c>
    </row>
    <row r="171" spans="9:9" x14ac:dyDescent="0.35">
      <c r="I171" t="str">
        <v>3F7SU4H</v>
      </c>
    </row>
    <row r="172" spans="9:9" x14ac:dyDescent="0.35">
      <c r="I172" t="str">
        <v>3F7SU5H</v>
      </c>
    </row>
    <row r="173" spans="9:9" x14ac:dyDescent="0.35">
      <c r="I173" t="str">
        <v>3F7SU6H</v>
      </c>
    </row>
    <row r="174" spans="9:9" x14ac:dyDescent="0.35">
      <c r="I174" t="str">
        <v>3F7SU7H</v>
      </c>
    </row>
    <row r="175" spans="9:9" x14ac:dyDescent="0.35">
      <c r="I175" t="str">
        <v>3F7SU8H</v>
      </c>
    </row>
    <row r="176" spans="9:9" x14ac:dyDescent="0.35">
      <c r="I176" t="str">
        <v>4W1MO1H</v>
      </c>
    </row>
    <row r="177" spans="9:9" x14ac:dyDescent="0.35">
      <c r="I177" t="str">
        <v>4W1MO2H</v>
      </c>
    </row>
    <row r="178" spans="9:9" x14ac:dyDescent="0.35">
      <c r="I178" t="str">
        <v>4W1MO3H</v>
      </c>
    </row>
    <row r="179" spans="9:9" x14ac:dyDescent="0.35">
      <c r="I179" t="str">
        <v>4W1MO4H</v>
      </c>
    </row>
    <row r="180" spans="9:9" x14ac:dyDescent="0.35">
      <c r="I180" t="str">
        <v>4W1MO5H</v>
      </c>
    </row>
    <row r="181" spans="9:9" x14ac:dyDescent="0.35">
      <c r="I181" t="str">
        <v>4W1MO6H</v>
      </c>
    </row>
    <row r="182" spans="9:9" x14ac:dyDescent="0.35">
      <c r="I182" t="str">
        <v>4W1MO7H</v>
      </c>
    </row>
    <row r="183" spans="9:9" x14ac:dyDescent="0.35">
      <c r="I183" t="str">
        <v>4W1MO8H</v>
      </c>
    </row>
    <row r="184" spans="9:9" x14ac:dyDescent="0.35">
      <c r="I184" t="str">
        <v>4W2TU1H</v>
      </c>
    </row>
    <row r="185" spans="9:9" x14ac:dyDescent="0.35">
      <c r="I185" t="str">
        <v>4W2TU2H</v>
      </c>
    </row>
    <row r="186" spans="9:9" x14ac:dyDescent="0.35">
      <c r="I186" t="str">
        <v>4W2TU3H</v>
      </c>
    </row>
    <row r="187" spans="9:9" x14ac:dyDescent="0.35">
      <c r="I187" t="str">
        <v>4W2TU4H</v>
      </c>
    </row>
    <row r="188" spans="9:9" x14ac:dyDescent="0.35">
      <c r="I188" t="str">
        <v>4W2TU5H</v>
      </c>
    </row>
    <row r="189" spans="9:9" x14ac:dyDescent="0.35">
      <c r="I189" t="str">
        <v>4W2TU6H</v>
      </c>
    </row>
    <row r="190" spans="9:9" x14ac:dyDescent="0.35">
      <c r="I190" t="str">
        <v>4W2TU7H</v>
      </c>
    </row>
    <row r="191" spans="9:9" x14ac:dyDescent="0.35">
      <c r="I191" t="str">
        <v>4W2TU8H</v>
      </c>
    </row>
    <row r="192" spans="9:9" x14ac:dyDescent="0.35">
      <c r="I192" t="str">
        <v>4W3WE1H</v>
      </c>
    </row>
    <row r="193" spans="9:9" x14ac:dyDescent="0.35">
      <c r="I193" t="str">
        <v>4W3WE2H</v>
      </c>
    </row>
    <row r="194" spans="9:9" x14ac:dyDescent="0.35">
      <c r="I194" t="str">
        <v>4W3WE3H</v>
      </c>
    </row>
    <row r="195" spans="9:9" x14ac:dyDescent="0.35">
      <c r="I195" t="str">
        <v>4W3WE4H</v>
      </c>
    </row>
    <row r="196" spans="9:9" x14ac:dyDescent="0.35">
      <c r="I196" t="str">
        <v>4W3WE5H</v>
      </c>
    </row>
    <row r="197" spans="9:9" x14ac:dyDescent="0.35">
      <c r="I197" t="str">
        <v>4W3WE6H</v>
      </c>
    </row>
    <row r="198" spans="9:9" x14ac:dyDescent="0.35">
      <c r="I198" t="str">
        <v>4W3WE7H</v>
      </c>
    </row>
    <row r="199" spans="9:9" x14ac:dyDescent="0.35">
      <c r="I199" t="str">
        <v>4W3WE8H</v>
      </c>
    </row>
    <row r="200" spans="9:9" x14ac:dyDescent="0.35">
      <c r="I200" t="str">
        <v>4W4TH1H</v>
      </c>
    </row>
    <row r="201" spans="9:9" x14ac:dyDescent="0.35">
      <c r="I201" t="str">
        <v>4W4TH2H</v>
      </c>
    </row>
    <row r="202" spans="9:9" x14ac:dyDescent="0.35">
      <c r="I202" t="str">
        <v>4W4TH3H</v>
      </c>
    </row>
    <row r="203" spans="9:9" x14ac:dyDescent="0.35">
      <c r="I203" t="str">
        <v>4W4TH4H</v>
      </c>
    </row>
    <row r="204" spans="9:9" x14ac:dyDescent="0.35">
      <c r="I204" t="str">
        <v>4W4TH5H</v>
      </c>
    </row>
    <row r="205" spans="9:9" x14ac:dyDescent="0.35">
      <c r="I205" t="str">
        <v>4W4TH6H</v>
      </c>
    </row>
    <row r="206" spans="9:9" x14ac:dyDescent="0.35">
      <c r="I206" t="str">
        <v>4W4TH7H</v>
      </c>
    </row>
    <row r="207" spans="9:9" x14ac:dyDescent="0.35">
      <c r="I207" t="str">
        <v>4W4TH8H</v>
      </c>
    </row>
    <row r="208" spans="9:9" x14ac:dyDescent="0.35">
      <c r="I208" t="str">
        <v>4W5FR1H</v>
      </c>
    </row>
    <row r="209" spans="9:9" x14ac:dyDescent="0.35">
      <c r="I209" t="str">
        <v>4W5FR2H</v>
      </c>
    </row>
    <row r="210" spans="9:9" x14ac:dyDescent="0.35">
      <c r="I210" t="str">
        <v>4W5FR3H</v>
      </c>
    </row>
    <row r="211" spans="9:9" x14ac:dyDescent="0.35">
      <c r="I211" t="str">
        <v>4W5FR4H</v>
      </c>
    </row>
    <row r="212" spans="9:9" x14ac:dyDescent="0.35">
      <c r="I212" t="str">
        <v>4W5FR5H</v>
      </c>
    </row>
    <row r="213" spans="9:9" x14ac:dyDescent="0.35">
      <c r="I213" t="str">
        <v>4W5FR6H</v>
      </c>
    </row>
    <row r="214" spans="9:9" x14ac:dyDescent="0.35">
      <c r="I214" t="str">
        <v>4W5FR7H</v>
      </c>
    </row>
    <row r="215" spans="9:9" x14ac:dyDescent="0.35">
      <c r="I215" t="str">
        <v>4W5FR8H</v>
      </c>
    </row>
    <row r="216" spans="9:9" x14ac:dyDescent="0.35">
      <c r="I216" t="str">
        <v>4W6SA1H</v>
      </c>
    </row>
    <row r="217" spans="9:9" x14ac:dyDescent="0.35">
      <c r="I217" t="str">
        <v>4W6SA2H</v>
      </c>
    </row>
    <row r="218" spans="9:9" x14ac:dyDescent="0.35">
      <c r="I218" t="str">
        <v>4W6SA3H</v>
      </c>
    </row>
    <row r="219" spans="9:9" x14ac:dyDescent="0.35">
      <c r="I219" t="str">
        <v>4W6SA4H</v>
      </c>
    </row>
    <row r="220" spans="9:9" x14ac:dyDescent="0.35">
      <c r="I220" t="str">
        <v>4W6SA5H</v>
      </c>
    </row>
    <row r="221" spans="9:9" x14ac:dyDescent="0.35">
      <c r="I221" t="str">
        <v>4W6SA6H</v>
      </c>
    </row>
    <row r="222" spans="9:9" x14ac:dyDescent="0.35">
      <c r="I222" t="str">
        <v>4W6SA7H</v>
      </c>
    </row>
    <row r="223" spans="9:9" x14ac:dyDescent="0.35">
      <c r="I223" t="str">
        <v>4W6SA8H</v>
      </c>
    </row>
    <row r="224" spans="9:9" x14ac:dyDescent="0.35">
      <c r="I224" t="str">
        <v>4W7SU1H</v>
      </c>
    </row>
    <row r="225" spans="9:9" x14ac:dyDescent="0.35">
      <c r="I225" t="str">
        <v>4W7SU2H</v>
      </c>
    </row>
    <row r="226" spans="9:9" x14ac:dyDescent="0.35">
      <c r="I226" t="str">
        <v>4W7SU3H</v>
      </c>
    </row>
    <row r="227" spans="9:9" x14ac:dyDescent="0.35">
      <c r="I227" t="str">
        <v>4W7SU4H</v>
      </c>
    </row>
    <row r="228" spans="9:9" x14ac:dyDescent="0.35">
      <c r="I228" t="str">
        <v>4W7SU5H</v>
      </c>
    </row>
    <row r="229" spans="9:9" x14ac:dyDescent="0.35">
      <c r="I229" t="str">
        <v>4W7SU6H</v>
      </c>
    </row>
    <row r="230" spans="9:9" x14ac:dyDescent="0.35">
      <c r="I230" t="str">
        <v>4W7SU7H</v>
      </c>
    </row>
    <row r="231" spans="9:9" x14ac:dyDescent="0.35">
      <c r="I231" t="str">
        <v>4W7SU8H</v>
      </c>
    </row>
  </sheetData>
  <phoneticPr fontId="4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0"/>
  <sheetViews>
    <sheetView zoomScale="190" zoomScaleNormal="190" workbookViewId="0">
      <selection activeCell="B7" sqref="B7"/>
    </sheetView>
  </sheetViews>
  <sheetFormatPr defaultRowHeight="12.75" x14ac:dyDescent="0.35"/>
  <cols>
    <col min="1" max="1" width="2.86328125" customWidth="1"/>
    <col min="2" max="2" width="20.1328125" customWidth="1"/>
    <col min="3" max="3" width="14.265625" customWidth="1"/>
    <col min="4" max="4" width="9.73046875" customWidth="1"/>
    <col min="5" max="5" width="11.265625" customWidth="1"/>
    <col min="7" max="7" width="11.86328125" bestFit="1" customWidth="1"/>
  </cols>
  <sheetData>
    <row r="2" spans="2:7" ht="15" x14ac:dyDescent="0.4">
      <c r="B2" s="40"/>
    </row>
    <row r="4" spans="2:7" ht="15" x14ac:dyDescent="0.4">
      <c r="B4" s="33" t="s">
        <v>90</v>
      </c>
    </row>
    <row r="6" spans="2:7" ht="15.75" customHeight="1" x14ac:dyDescent="0.4">
      <c r="B6" s="23" t="s">
        <v>9</v>
      </c>
    </row>
    <row r="7" spans="2:7" ht="15.75" customHeight="1" x14ac:dyDescent="0.35">
      <c r="B7">
        <v>2020</v>
      </c>
    </row>
    <row r="13" spans="2:7" ht="15" x14ac:dyDescent="0.4">
      <c r="B13" s="33" t="s">
        <v>92</v>
      </c>
      <c r="E13" s="33" t="s">
        <v>91</v>
      </c>
      <c r="F13" s="33"/>
      <c r="G13" s="33"/>
    </row>
    <row r="15" spans="2:7" ht="15.75" customHeight="1" x14ac:dyDescent="0.4">
      <c r="B15" s="23" t="s">
        <v>10</v>
      </c>
      <c r="E15" s="23" t="s">
        <v>11</v>
      </c>
    </row>
    <row r="16" spans="2:7" ht="15.75" customHeight="1" x14ac:dyDescent="0.4">
      <c r="B16" s="24" t="s">
        <v>12</v>
      </c>
      <c r="E16" s="26" t="s">
        <v>12</v>
      </c>
    </row>
    <row r="17" spans="2:4" ht="15.75" customHeight="1" x14ac:dyDescent="0.35">
      <c r="B17" s="28">
        <v>1</v>
      </c>
    </row>
    <row r="18" spans="2:4" ht="15.75" customHeight="1" x14ac:dyDescent="0.35">
      <c r="B18" s="34">
        <v>2</v>
      </c>
    </row>
    <row r="19" spans="2:4" ht="15.75" customHeight="1" x14ac:dyDescent="0.35">
      <c r="B19">
        <v>5</v>
      </c>
    </row>
    <row r="20" spans="2:4" ht="15.75" customHeight="1" x14ac:dyDescent="0.35">
      <c r="B20" s="34">
        <v>5</v>
      </c>
    </row>
    <row r="21" spans="2:4" ht="15.75" customHeight="1" x14ac:dyDescent="0.35">
      <c r="B21">
        <v>5</v>
      </c>
    </row>
    <row r="22" spans="2:4" ht="15.75" customHeight="1" x14ac:dyDescent="0.35">
      <c r="B22" s="34">
        <v>5</v>
      </c>
    </row>
    <row r="23" spans="2:4" ht="15.75" customHeight="1" x14ac:dyDescent="0.35">
      <c r="B23">
        <v>5</v>
      </c>
    </row>
    <row r="24" spans="2:4" ht="15.75" customHeight="1" x14ac:dyDescent="0.35">
      <c r="B24" s="34">
        <v>5</v>
      </c>
    </row>
    <row r="25" spans="2:4" ht="15.75" customHeight="1" thickBot="1" x14ac:dyDescent="0.4">
      <c r="B25" s="30"/>
    </row>
    <row r="29" spans="2:4" x14ac:dyDescent="0.35">
      <c r="B29" s="26"/>
      <c r="D29" s="26"/>
    </row>
    <row r="30" spans="2:4" x14ac:dyDescent="0.35">
      <c r="B30" s="26"/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2"/>
  <sheetViews>
    <sheetView zoomScaleNormal="100" workbookViewId="0">
      <selection activeCell="D23" sqref="D23"/>
    </sheetView>
  </sheetViews>
  <sheetFormatPr defaultRowHeight="12.75" x14ac:dyDescent="0.35"/>
  <cols>
    <col min="1" max="1" width="2.86328125" customWidth="1"/>
    <col min="2" max="2" width="11.265625" customWidth="1"/>
    <col min="4" max="4" width="10.86328125" customWidth="1"/>
    <col min="5" max="5" width="11.59765625" customWidth="1"/>
    <col min="7" max="7" width="10.73046875" bestFit="1" customWidth="1"/>
    <col min="8" max="8" width="10.73046875" customWidth="1"/>
    <col min="12" max="12" width="9.265625" customWidth="1"/>
  </cols>
  <sheetData>
    <row r="1" spans="2:11" ht="12.75" customHeight="1" x14ac:dyDescent="0.35"/>
    <row r="2" spans="2:11" ht="15.75" customHeight="1" x14ac:dyDescent="0.4">
      <c r="B2" s="40"/>
      <c r="C2" s="20"/>
      <c r="D2" s="20"/>
      <c r="E2" s="20"/>
      <c r="F2" s="20"/>
      <c r="G2" s="20"/>
      <c r="H2" s="20"/>
      <c r="I2" s="20"/>
      <c r="J2" s="20"/>
      <c r="K2" s="20"/>
    </row>
    <row r="3" spans="2:11" ht="12.75" customHeight="1" x14ac:dyDescent="0.35"/>
    <row r="4" spans="2:11" ht="15.75" customHeight="1" x14ac:dyDescent="0.45">
      <c r="B4" s="21" t="s">
        <v>95</v>
      </c>
      <c r="C4" s="21"/>
      <c r="D4" s="21"/>
      <c r="E4" s="21"/>
    </row>
    <row r="5" spans="2:11" ht="12.75" customHeight="1" x14ac:dyDescent="0.4">
      <c r="B5" s="17"/>
    </row>
    <row r="6" spans="2:11" ht="15.75" customHeight="1" x14ac:dyDescent="0.4">
      <c r="B6" s="17" t="s">
        <v>93</v>
      </c>
    </row>
    <row r="7" spans="2:11" ht="15.75" customHeight="1" thickBot="1" x14ac:dyDescent="0.4">
      <c r="B7" s="19" t="s">
        <v>13</v>
      </c>
      <c r="C7" s="19" t="s">
        <v>14</v>
      </c>
      <c r="D7" s="19" t="s">
        <v>15</v>
      </c>
      <c r="E7" s="19" t="s">
        <v>16</v>
      </c>
      <c r="F7" s="19" t="s">
        <v>17</v>
      </c>
    </row>
    <row r="8" spans="2:11" ht="15.75" customHeight="1" x14ac:dyDescent="0.35"/>
    <row r="9" spans="2:11" ht="15.75" customHeight="1" x14ac:dyDescent="0.35">
      <c r="B9" t="s">
        <v>18</v>
      </c>
      <c r="C9" t="s">
        <v>19</v>
      </c>
      <c r="D9">
        <v>0</v>
      </c>
      <c r="E9">
        <v>5</v>
      </c>
    </row>
    <row r="10" spans="2:11" ht="15.75" customHeight="1" x14ac:dyDescent="0.35">
      <c r="B10" s="26" t="s">
        <v>103</v>
      </c>
      <c r="C10" s="26" t="s">
        <v>104</v>
      </c>
      <c r="D10">
        <v>0</v>
      </c>
      <c r="E10">
        <v>1</v>
      </c>
    </row>
    <row r="11" spans="2:11" ht="15.75" customHeight="1" x14ac:dyDescent="0.35">
      <c r="B11" s="34" t="s">
        <v>18</v>
      </c>
      <c r="C11" s="35" t="s">
        <v>20</v>
      </c>
      <c r="D11" s="35">
        <v>0</v>
      </c>
      <c r="E11" s="34">
        <v>5</v>
      </c>
      <c r="F11" s="34"/>
    </row>
    <row r="12" spans="2:11" ht="12.75" customHeight="1" thickBot="1" x14ac:dyDescent="0.4">
      <c r="B12" s="30" t="s">
        <v>18</v>
      </c>
      <c r="C12" s="31" t="s">
        <v>21</v>
      </c>
      <c r="D12" s="31">
        <v>0</v>
      </c>
      <c r="E12" s="30">
        <v>5</v>
      </c>
      <c r="F12" s="30"/>
    </row>
    <row r="13" spans="2:11" ht="12.75" customHeight="1" x14ac:dyDescent="0.4">
      <c r="B13" s="20"/>
      <c r="E13" s="25"/>
      <c r="F13" s="25"/>
    </row>
    <row r="14" spans="2:11" ht="15.75" customHeight="1" x14ac:dyDescent="0.45">
      <c r="B14" s="21" t="s">
        <v>94</v>
      </c>
      <c r="C14" s="21"/>
      <c r="D14" s="21"/>
    </row>
    <row r="15" spans="2:11" ht="12.75" customHeight="1" x14ac:dyDescent="0.35"/>
    <row r="16" spans="2:11" ht="15.75" customHeight="1" x14ac:dyDescent="0.4">
      <c r="B16" s="17" t="s">
        <v>22</v>
      </c>
    </row>
    <row r="17" spans="2:5" ht="15.75" customHeight="1" thickBot="1" x14ac:dyDescent="0.4">
      <c r="B17" s="19" t="s">
        <v>14</v>
      </c>
      <c r="C17" s="19" t="s">
        <v>16</v>
      </c>
      <c r="D17" s="19" t="s">
        <v>23</v>
      </c>
      <c r="E17" s="19" t="s">
        <v>17</v>
      </c>
    </row>
    <row r="18" spans="2:5" ht="15.75" customHeight="1" x14ac:dyDescent="0.35">
      <c r="B18" t="s">
        <v>24</v>
      </c>
      <c r="C18">
        <v>5555</v>
      </c>
      <c r="D18" t="s">
        <v>25</v>
      </c>
      <c r="E18" t="s">
        <v>26</v>
      </c>
    </row>
    <row r="19" spans="2:5" ht="15.75" customHeight="1" thickBot="1" x14ac:dyDescent="0.4">
      <c r="B19" s="36" t="s">
        <v>24</v>
      </c>
      <c r="C19" s="36">
        <v>9999</v>
      </c>
      <c r="D19" s="36" t="s">
        <v>25</v>
      </c>
      <c r="E19" s="36" t="s">
        <v>27</v>
      </c>
    </row>
    <row r="20" spans="2:5" ht="15.75" customHeight="1" x14ac:dyDescent="0.35"/>
    <row r="21" spans="2:5" ht="15.75" customHeight="1" x14ac:dyDescent="0.35"/>
    <row r="22" spans="2:5" ht="15.75" customHeight="1" x14ac:dyDescent="0.35"/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233"/>
  <sheetViews>
    <sheetView tabSelected="1" zoomScale="160" zoomScaleNormal="160" workbookViewId="0">
      <selection activeCell="G9" sqref="G9"/>
    </sheetView>
  </sheetViews>
  <sheetFormatPr defaultColWidth="9.1328125" defaultRowHeight="12.75" x14ac:dyDescent="0.35"/>
  <cols>
    <col min="1" max="1" width="2.86328125" style="22" customWidth="1"/>
    <col min="2" max="2" width="12.86328125" style="22" customWidth="1"/>
    <col min="3" max="3" width="8.86328125" style="22" customWidth="1"/>
    <col min="4" max="4" width="14" style="22" customWidth="1"/>
    <col min="5" max="5" width="5.3984375" style="22" customWidth="1"/>
    <col min="6" max="6" width="13.73046875" style="22" customWidth="1"/>
    <col min="7" max="7" width="10.3984375" style="22" bestFit="1" customWidth="1"/>
    <col min="8" max="8" width="26.86328125" style="22" customWidth="1"/>
    <col min="9" max="16384" width="9.1328125" style="22"/>
  </cols>
  <sheetData>
    <row r="3" spans="2:17" ht="17.25" x14ac:dyDescent="0.45">
      <c r="B3" s="21" t="s">
        <v>28</v>
      </c>
      <c r="C3" s="21"/>
      <c r="D3" s="21"/>
    </row>
    <row r="5" spans="2:17" ht="18.75" customHeight="1" thickBot="1" x14ac:dyDescent="0.45">
      <c r="B5" s="14" t="s">
        <v>29</v>
      </c>
      <c r="C5" s="14"/>
      <c r="D5" s="14"/>
      <c r="E5" s="14"/>
      <c r="F5" s="14"/>
      <c r="G5" s="14"/>
      <c r="H5" s="14"/>
    </row>
    <row r="6" spans="2:17" ht="13.15" x14ac:dyDescent="0.35">
      <c r="B6" s="13" t="s">
        <v>30</v>
      </c>
      <c r="C6" s="13" t="s">
        <v>13</v>
      </c>
      <c r="D6" s="13" t="s">
        <v>14</v>
      </c>
      <c r="E6" s="13" t="s">
        <v>31</v>
      </c>
      <c r="F6" s="13" t="s">
        <v>32</v>
      </c>
      <c r="G6" s="13" t="s">
        <v>16</v>
      </c>
      <c r="H6" s="13" t="s">
        <v>33</v>
      </c>
    </row>
    <row r="7" spans="2:17" ht="18.75" customHeight="1" x14ac:dyDescent="0.35">
      <c r="B7" s="2"/>
      <c r="C7" s="2"/>
      <c r="D7" s="2" t="s">
        <v>34</v>
      </c>
      <c r="E7" s="1"/>
      <c r="F7" s="2"/>
      <c r="G7" s="2">
        <v>2020</v>
      </c>
      <c r="H7" s="2"/>
    </row>
    <row r="8" spans="2:17" ht="18.75" customHeight="1" x14ac:dyDescent="0.35">
      <c r="B8" s="16"/>
      <c r="C8" s="16"/>
      <c r="D8" s="16" t="s">
        <v>35</v>
      </c>
      <c r="E8" s="15"/>
      <c r="F8" s="16"/>
      <c r="G8" s="16">
        <v>0.09</v>
      </c>
      <c r="H8" s="16"/>
    </row>
    <row r="9" spans="2:17" ht="18.75" customHeight="1" x14ac:dyDescent="0.35">
      <c r="B9" s="12" t="s">
        <v>346</v>
      </c>
      <c r="C9" s="12"/>
      <c r="D9" s="12"/>
      <c r="E9" s="12"/>
      <c r="F9" s="12"/>
      <c r="G9" s="54"/>
      <c r="H9" s="11"/>
      <c r="K9" s="22" t="s">
        <v>98</v>
      </c>
    </row>
    <row r="10" spans="2:17" ht="18.75" customHeight="1" x14ac:dyDescent="0.35">
      <c r="B10" s="10" t="s">
        <v>122</v>
      </c>
      <c r="C10" s="9"/>
      <c r="D10" s="10" t="s">
        <v>40</v>
      </c>
      <c r="E10" s="8"/>
      <c r="F10" s="8"/>
      <c r="G10" s="8">
        <v>4.5682485322896304E-3</v>
      </c>
      <c r="H10" s="8"/>
    </row>
    <row r="11" spans="2:17" ht="18.75" customHeight="1" x14ac:dyDescent="0.35">
      <c r="B11" s="7" t="s">
        <v>123</v>
      </c>
      <c r="C11" s="6"/>
      <c r="D11" s="7" t="s">
        <v>40</v>
      </c>
      <c r="E11" s="5"/>
      <c r="F11" s="5"/>
      <c r="G11" s="5">
        <v>4.5682485322896304E-3</v>
      </c>
      <c r="H11" s="5"/>
      <c r="K11" s="27"/>
      <c r="L11" s="27"/>
      <c r="M11" s="27" t="s">
        <v>36</v>
      </c>
      <c r="N11" s="28"/>
      <c r="O11" s="27"/>
      <c r="P11" s="27">
        <v>1</v>
      </c>
      <c r="Q11" s="27" t="s">
        <v>37</v>
      </c>
    </row>
    <row r="12" spans="2:17" ht="18.75" customHeight="1" x14ac:dyDescent="0.35">
      <c r="B12" s="10" t="s">
        <v>124</v>
      </c>
      <c r="C12" s="9"/>
      <c r="D12" s="10" t="s">
        <v>40</v>
      </c>
      <c r="E12" s="8"/>
      <c r="F12" s="8"/>
      <c r="G12" s="8">
        <v>4.5682485322896304E-3</v>
      </c>
      <c r="H12" s="8"/>
      <c r="K12" s="37"/>
      <c r="L12" s="37"/>
      <c r="M12" s="37" t="s">
        <v>38</v>
      </c>
      <c r="N12" s="34"/>
      <c r="O12" s="37"/>
      <c r="P12" s="37">
        <v>0.3</v>
      </c>
      <c r="Q12" s="37" t="s">
        <v>39</v>
      </c>
    </row>
    <row r="13" spans="2:17" ht="18.75" customHeight="1" x14ac:dyDescent="0.35">
      <c r="B13" s="7" t="s">
        <v>125</v>
      </c>
      <c r="C13" s="6"/>
      <c r="D13" s="7" t="s">
        <v>40</v>
      </c>
      <c r="E13" s="5"/>
      <c r="F13" s="5"/>
      <c r="G13" s="5">
        <v>4.5682485322896304E-3</v>
      </c>
      <c r="H13" s="5"/>
      <c r="M13" s="47" t="s">
        <v>96</v>
      </c>
      <c r="N13" s="47"/>
      <c r="O13" s="47" t="s">
        <v>97</v>
      </c>
      <c r="P13" s="47">
        <v>52.142857142857146</v>
      </c>
    </row>
    <row r="14" spans="2:17" ht="18.75" customHeight="1" x14ac:dyDescent="0.35">
      <c r="B14" s="10" t="s">
        <v>126</v>
      </c>
      <c r="C14" s="9"/>
      <c r="D14" s="10" t="s">
        <v>40</v>
      </c>
      <c r="E14" s="8"/>
      <c r="F14" s="8"/>
      <c r="G14" s="8">
        <v>4.5682485322896304E-3</v>
      </c>
      <c r="H14" s="8"/>
    </row>
    <row r="15" spans="2:17" ht="18.75" customHeight="1" x14ac:dyDescent="0.45">
      <c r="B15" s="7" t="s">
        <v>127</v>
      </c>
      <c r="C15" s="6"/>
      <c r="D15" s="7" t="s">
        <v>40</v>
      </c>
      <c r="E15" s="5"/>
      <c r="F15" s="5"/>
      <c r="G15" s="5">
        <v>4.5682485322896304E-3</v>
      </c>
      <c r="H15" s="5"/>
      <c r="J15" s="48"/>
    </row>
    <row r="16" spans="2:17" ht="18.75" customHeight="1" x14ac:dyDescent="0.35">
      <c r="B16" s="10" t="s">
        <v>128</v>
      </c>
      <c r="C16" s="9"/>
      <c r="D16" s="10" t="s">
        <v>40</v>
      </c>
      <c r="E16" s="8"/>
      <c r="F16" s="8"/>
      <c r="G16" s="8">
        <v>4.5682485322896304E-3</v>
      </c>
      <c r="H16" s="8"/>
    </row>
    <row r="17" spans="2:8" ht="18.75" customHeight="1" x14ac:dyDescent="0.35">
      <c r="B17" s="7" t="s">
        <v>129</v>
      </c>
      <c r="C17" s="6"/>
      <c r="D17" s="7" t="s">
        <v>40</v>
      </c>
      <c r="E17" s="5"/>
      <c r="F17" s="5"/>
      <c r="G17" s="5">
        <v>4.5682485322896304E-3</v>
      </c>
      <c r="H17" s="5"/>
    </row>
    <row r="18" spans="2:8" ht="18.75" customHeight="1" x14ac:dyDescent="0.35">
      <c r="B18" s="10" t="s">
        <v>130</v>
      </c>
      <c r="C18" s="9"/>
      <c r="D18" s="10" t="s">
        <v>40</v>
      </c>
      <c r="E18" s="8"/>
      <c r="F18" s="8"/>
      <c r="G18" s="8">
        <v>4.5682485322896304E-3</v>
      </c>
      <c r="H18" s="8"/>
    </row>
    <row r="19" spans="2:8" ht="18.75" customHeight="1" x14ac:dyDescent="0.35">
      <c r="B19" s="7" t="s">
        <v>131</v>
      </c>
      <c r="C19" s="6"/>
      <c r="D19" s="7" t="s">
        <v>40</v>
      </c>
      <c r="E19" s="5"/>
      <c r="F19" s="5"/>
      <c r="G19" s="5">
        <v>4.5682485322896304E-3</v>
      </c>
      <c r="H19" s="5"/>
    </row>
    <row r="20" spans="2:8" ht="18.75" customHeight="1" x14ac:dyDescent="0.35">
      <c r="B20" s="10" t="s">
        <v>132</v>
      </c>
      <c r="C20" s="9"/>
      <c r="D20" s="10" t="s">
        <v>40</v>
      </c>
      <c r="E20" s="8"/>
      <c r="F20" s="8"/>
      <c r="G20" s="8">
        <v>4.5682485322896304E-3</v>
      </c>
      <c r="H20" s="8"/>
    </row>
    <row r="21" spans="2:8" ht="18.75" customHeight="1" x14ac:dyDescent="0.35">
      <c r="B21" s="7" t="s">
        <v>133</v>
      </c>
      <c r="C21" s="6"/>
      <c r="D21" s="7" t="s">
        <v>40</v>
      </c>
      <c r="E21" s="5"/>
      <c r="F21" s="5"/>
      <c r="G21" s="5">
        <v>4.5682485322896304E-3</v>
      </c>
      <c r="H21" s="5"/>
    </row>
    <row r="22" spans="2:8" ht="18.75" customHeight="1" x14ac:dyDescent="0.35">
      <c r="B22" s="10" t="s">
        <v>134</v>
      </c>
      <c r="C22" s="9"/>
      <c r="D22" s="10" t="s">
        <v>40</v>
      </c>
      <c r="E22" s="8"/>
      <c r="F22" s="8"/>
      <c r="G22" s="8">
        <v>4.5682485322896304E-3</v>
      </c>
      <c r="H22" s="8"/>
    </row>
    <row r="23" spans="2:8" ht="18.75" customHeight="1" x14ac:dyDescent="0.35">
      <c r="B23" s="7" t="s">
        <v>135</v>
      </c>
      <c r="C23" s="6"/>
      <c r="D23" s="7" t="s">
        <v>40</v>
      </c>
      <c r="E23" s="5"/>
      <c r="F23" s="5"/>
      <c r="G23" s="5">
        <v>4.5682485322896304E-3</v>
      </c>
      <c r="H23" s="5"/>
    </row>
    <row r="24" spans="2:8" ht="18.75" customHeight="1" x14ac:dyDescent="0.35">
      <c r="B24" s="10" t="s">
        <v>136</v>
      </c>
      <c r="C24" s="9"/>
      <c r="D24" s="10" t="s">
        <v>40</v>
      </c>
      <c r="E24" s="8"/>
      <c r="F24" s="8"/>
      <c r="G24" s="8">
        <v>4.5682485322896304E-3</v>
      </c>
      <c r="H24" s="8"/>
    </row>
    <row r="25" spans="2:8" ht="18.75" customHeight="1" x14ac:dyDescent="0.35">
      <c r="B25" s="7" t="s">
        <v>137</v>
      </c>
      <c r="C25" s="6"/>
      <c r="D25" s="7" t="s">
        <v>40</v>
      </c>
      <c r="E25" s="5"/>
      <c r="F25" s="5"/>
      <c r="G25" s="5">
        <v>4.5682485322896304E-3</v>
      </c>
      <c r="H25" s="5"/>
    </row>
    <row r="26" spans="2:8" ht="18.75" customHeight="1" x14ac:dyDescent="0.35">
      <c r="B26" s="10" t="s">
        <v>138</v>
      </c>
      <c r="C26" s="9"/>
      <c r="D26" s="10" t="s">
        <v>40</v>
      </c>
      <c r="E26" s="8"/>
      <c r="F26" s="8"/>
      <c r="G26" s="8">
        <v>4.5682485322896304E-3</v>
      </c>
      <c r="H26" s="8"/>
    </row>
    <row r="27" spans="2:8" ht="18.75" customHeight="1" x14ac:dyDescent="0.35">
      <c r="B27" s="7" t="s">
        <v>139</v>
      </c>
      <c r="C27" s="6"/>
      <c r="D27" s="7" t="s">
        <v>40</v>
      </c>
      <c r="E27" s="5"/>
      <c r="F27" s="5"/>
      <c r="G27" s="5">
        <v>4.5682485322896304E-3</v>
      </c>
      <c r="H27" s="5"/>
    </row>
    <row r="28" spans="2:8" ht="18.75" customHeight="1" x14ac:dyDescent="0.35">
      <c r="B28" s="10" t="s">
        <v>140</v>
      </c>
      <c r="C28" s="9"/>
      <c r="D28" s="10" t="s">
        <v>40</v>
      </c>
      <c r="E28" s="8"/>
      <c r="F28" s="8"/>
      <c r="G28" s="8">
        <v>4.5682485322896304E-3</v>
      </c>
      <c r="H28" s="8"/>
    </row>
    <row r="29" spans="2:8" ht="18.75" customHeight="1" x14ac:dyDescent="0.35">
      <c r="B29" s="7" t="s">
        <v>141</v>
      </c>
      <c r="C29" s="6"/>
      <c r="D29" s="7" t="s">
        <v>40</v>
      </c>
      <c r="E29" s="5"/>
      <c r="F29" s="5"/>
      <c r="G29" s="5">
        <v>4.5682485322896304E-3</v>
      </c>
      <c r="H29" s="5"/>
    </row>
    <row r="30" spans="2:8" ht="18.75" customHeight="1" x14ac:dyDescent="0.35">
      <c r="B30" s="10" t="s">
        <v>142</v>
      </c>
      <c r="C30" s="9"/>
      <c r="D30" s="10" t="s">
        <v>40</v>
      </c>
      <c r="E30" s="8"/>
      <c r="F30" s="8"/>
      <c r="G30" s="8">
        <v>4.5682485322896304E-3</v>
      </c>
      <c r="H30" s="8"/>
    </row>
    <row r="31" spans="2:8" ht="18.75" customHeight="1" x14ac:dyDescent="0.35">
      <c r="B31" s="7" t="s">
        <v>143</v>
      </c>
      <c r="C31" s="5"/>
      <c r="D31" s="7" t="s">
        <v>40</v>
      </c>
      <c r="E31" s="5"/>
      <c r="F31" s="5"/>
      <c r="G31" s="5">
        <v>4.5682485322896304E-3</v>
      </c>
      <c r="H31" s="5"/>
    </row>
    <row r="32" spans="2:8" ht="18.75" customHeight="1" x14ac:dyDescent="0.35">
      <c r="B32" s="10" t="s">
        <v>144</v>
      </c>
      <c r="C32" s="8"/>
      <c r="D32" s="10" t="s">
        <v>40</v>
      </c>
      <c r="E32" s="8"/>
      <c r="F32" s="8"/>
      <c r="G32" s="8">
        <v>4.5682485322896304E-3</v>
      </c>
      <c r="H32" s="8"/>
    </row>
    <row r="33" spans="2:8" ht="18.75" customHeight="1" x14ac:dyDescent="0.35">
      <c r="B33" s="7" t="s">
        <v>145</v>
      </c>
      <c r="C33" s="5"/>
      <c r="D33" s="7" t="s">
        <v>40</v>
      </c>
      <c r="E33" s="5"/>
      <c r="F33" s="5"/>
      <c r="G33" s="5">
        <v>4.5682485322896304E-3</v>
      </c>
      <c r="H33" s="5"/>
    </row>
    <row r="34" spans="2:8" ht="18.75" customHeight="1" x14ac:dyDescent="0.35">
      <c r="B34" s="10" t="s">
        <v>146</v>
      </c>
      <c r="C34" s="8"/>
      <c r="D34" s="10" t="s">
        <v>40</v>
      </c>
      <c r="E34" s="8"/>
      <c r="F34" s="8"/>
      <c r="G34" s="8">
        <v>4.5682485322896304E-3</v>
      </c>
      <c r="H34" s="8"/>
    </row>
    <row r="35" spans="2:8" ht="18.75" customHeight="1" x14ac:dyDescent="0.35">
      <c r="B35" s="7" t="s">
        <v>147</v>
      </c>
      <c r="C35" s="5"/>
      <c r="D35" s="7" t="s">
        <v>40</v>
      </c>
      <c r="E35" s="5"/>
      <c r="F35" s="5"/>
      <c r="G35" s="5">
        <v>4.5682485322896304E-3</v>
      </c>
      <c r="H35" s="5"/>
    </row>
    <row r="36" spans="2:8" ht="18.75" customHeight="1" x14ac:dyDescent="0.35">
      <c r="B36" s="10" t="s">
        <v>148</v>
      </c>
      <c r="C36" s="8"/>
      <c r="D36" s="10" t="s">
        <v>40</v>
      </c>
      <c r="E36" s="8"/>
      <c r="F36" s="8"/>
      <c r="G36" s="8">
        <v>4.5682485322896304E-3</v>
      </c>
      <c r="H36" s="8"/>
    </row>
    <row r="37" spans="2:8" ht="18.75" customHeight="1" x14ac:dyDescent="0.35">
      <c r="B37" s="7" t="s">
        <v>149</v>
      </c>
      <c r="C37" s="5"/>
      <c r="D37" s="7" t="s">
        <v>40</v>
      </c>
      <c r="E37" s="5"/>
      <c r="F37" s="5"/>
      <c r="G37" s="5">
        <v>4.5682485322896304E-3</v>
      </c>
      <c r="H37" s="5"/>
    </row>
    <row r="38" spans="2:8" ht="18.75" customHeight="1" x14ac:dyDescent="0.35">
      <c r="B38" s="10" t="s">
        <v>150</v>
      </c>
      <c r="C38" s="8"/>
      <c r="D38" s="10" t="s">
        <v>40</v>
      </c>
      <c r="E38" s="8"/>
      <c r="F38" s="8"/>
      <c r="G38" s="8">
        <v>4.5682485322896304E-3</v>
      </c>
      <c r="H38" s="8"/>
    </row>
    <row r="39" spans="2:8" ht="18.75" customHeight="1" x14ac:dyDescent="0.35">
      <c r="B39" s="7" t="s">
        <v>151</v>
      </c>
      <c r="C39" s="5"/>
      <c r="D39" s="7" t="s">
        <v>40</v>
      </c>
      <c r="E39" s="5"/>
      <c r="F39" s="5"/>
      <c r="G39" s="5">
        <v>4.5682485322896304E-3</v>
      </c>
      <c r="H39" s="5"/>
    </row>
    <row r="40" spans="2:8" ht="18.75" customHeight="1" x14ac:dyDescent="0.35">
      <c r="B40" s="10" t="s">
        <v>152</v>
      </c>
      <c r="C40" s="8"/>
      <c r="D40" s="10" t="s">
        <v>40</v>
      </c>
      <c r="E40" s="8"/>
      <c r="F40" s="8"/>
      <c r="G40" s="8">
        <v>4.5682485322896304E-3</v>
      </c>
      <c r="H40" s="8"/>
    </row>
    <row r="41" spans="2:8" ht="18.75" customHeight="1" x14ac:dyDescent="0.35">
      <c r="B41" s="7" t="s">
        <v>153</v>
      </c>
      <c r="C41" s="5"/>
      <c r="D41" s="7" t="s">
        <v>40</v>
      </c>
      <c r="E41" s="5"/>
      <c r="F41" s="5"/>
      <c r="G41" s="5">
        <v>4.5682485322896304E-3</v>
      </c>
      <c r="H41" s="5"/>
    </row>
    <row r="42" spans="2:8" ht="18.75" customHeight="1" x14ac:dyDescent="0.35">
      <c r="B42" s="10" t="s">
        <v>154</v>
      </c>
      <c r="C42" s="8"/>
      <c r="D42" s="10" t="s">
        <v>40</v>
      </c>
      <c r="E42" s="8"/>
      <c r="F42" s="8"/>
      <c r="G42" s="8">
        <v>4.5682485322896304E-3</v>
      </c>
      <c r="H42" s="8"/>
    </row>
    <row r="43" spans="2:8" ht="18.75" customHeight="1" x14ac:dyDescent="0.35">
      <c r="B43" s="7" t="s">
        <v>155</v>
      </c>
      <c r="C43" s="5"/>
      <c r="D43" s="7" t="s">
        <v>40</v>
      </c>
      <c r="E43" s="5"/>
      <c r="F43" s="5"/>
      <c r="G43" s="5">
        <v>4.5682485322896304E-3</v>
      </c>
      <c r="H43" s="5"/>
    </row>
    <row r="44" spans="2:8" ht="18.75" customHeight="1" x14ac:dyDescent="0.35">
      <c r="B44" s="10" t="s">
        <v>156</v>
      </c>
      <c r="C44" s="8"/>
      <c r="D44" s="10" t="s">
        <v>40</v>
      </c>
      <c r="E44" s="8"/>
      <c r="F44" s="8"/>
      <c r="G44" s="8">
        <v>4.5682485322896304E-3</v>
      </c>
      <c r="H44" s="8"/>
    </row>
    <row r="45" spans="2:8" ht="18.75" customHeight="1" x14ac:dyDescent="0.35">
      <c r="B45" s="7" t="s">
        <v>157</v>
      </c>
      <c r="C45" s="5"/>
      <c r="D45" s="7" t="s">
        <v>40</v>
      </c>
      <c r="E45" s="5"/>
      <c r="F45" s="5"/>
      <c r="G45" s="5">
        <v>4.5682485322896304E-3</v>
      </c>
      <c r="H45" s="5"/>
    </row>
    <row r="46" spans="2:8" ht="18.75" customHeight="1" x14ac:dyDescent="0.35">
      <c r="B46" s="10" t="s">
        <v>158</v>
      </c>
      <c r="C46" s="8"/>
      <c r="D46" s="10" t="s">
        <v>40</v>
      </c>
      <c r="E46" s="8"/>
      <c r="F46" s="8"/>
      <c r="G46" s="8">
        <v>4.5682485322896304E-3</v>
      </c>
      <c r="H46" s="8"/>
    </row>
    <row r="47" spans="2:8" ht="18.75" customHeight="1" x14ac:dyDescent="0.35">
      <c r="B47" s="7" t="s">
        <v>159</v>
      </c>
      <c r="C47" s="5"/>
      <c r="D47" s="7" t="s">
        <v>40</v>
      </c>
      <c r="E47" s="5"/>
      <c r="F47" s="5"/>
      <c r="G47" s="5">
        <v>4.5682485322896304E-3</v>
      </c>
      <c r="H47" s="5"/>
    </row>
    <row r="48" spans="2:8" ht="18.75" customHeight="1" x14ac:dyDescent="0.35">
      <c r="B48" s="10" t="s">
        <v>160</v>
      </c>
      <c r="C48" s="8"/>
      <c r="D48" s="10" t="s">
        <v>40</v>
      </c>
      <c r="E48" s="8"/>
      <c r="F48" s="8"/>
      <c r="G48" s="8">
        <v>4.5682485322896304E-3</v>
      </c>
      <c r="H48" s="8"/>
    </row>
    <row r="49" spans="2:8" ht="18.75" customHeight="1" x14ac:dyDescent="0.35">
      <c r="B49" s="7" t="s">
        <v>161</v>
      </c>
      <c r="C49" s="5"/>
      <c r="D49" s="7" t="s">
        <v>40</v>
      </c>
      <c r="E49" s="5"/>
      <c r="F49" s="5"/>
      <c r="G49" s="5">
        <v>4.5682485322896304E-3</v>
      </c>
      <c r="H49" s="5"/>
    </row>
    <row r="50" spans="2:8" ht="18.75" customHeight="1" x14ac:dyDescent="0.35">
      <c r="B50" s="10" t="s">
        <v>162</v>
      </c>
      <c r="C50" s="8"/>
      <c r="D50" s="10" t="s">
        <v>40</v>
      </c>
      <c r="E50" s="8"/>
      <c r="F50" s="8"/>
      <c r="G50" s="8">
        <v>4.5682485322896304E-3</v>
      </c>
      <c r="H50" s="8"/>
    </row>
    <row r="51" spans="2:8" ht="18.75" customHeight="1" x14ac:dyDescent="0.35">
      <c r="B51" s="7" t="s">
        <v>163</v>
      </c>
      <c r="C51" s="5"/>
      <c r="D51" s="7" t="s">
        <v>40</v>
      </c>
      <c r="E51" s="5"/>
      <c r="F51" s="5"/>
      <c r="G51" s="5">
        <v>4.5682485322896304E-3</v>
      </c>
      <c r="H51" s="5"/>
    </row>
    <row r="52" spans="2:8" ht="18.75" customHeight="1" x14ac:dyDescent="0.35">
      <c r="B52" s="10" t="s">
        <v>164</v>
      </c>
      <c r="C52" s="8"/>
      <c r="D52" s="10" t="s">
        <v>40</v>
      </c>
      <c r="E52" s="8"/>
      <c r="F52" s="8"/>
      <c r="G52" s="8">
        <v>4.5682485322896304E-3</v>
      </c>
      <c r="H52" s="8"/>
    </row>
    <row r="53" spans="2:8" ht="18.75" customHeight="1" x14ac:dyDescent="0.35">
      <c r="B53" s="7" t="s">
        <v>165</v>
      </c>
      <c r="C53" s="5"/>
      <c r="D53" s="7" t="s">
        <v>40</v>
      </c>
      <c r="E53" s="5"/>
      <c r="F53" s="5"/>
      <c r="G53" s="5">
        <v>4.5682485322896304E-3</v>
      </c>
      <c r="H53" s="5"/>
    </row>
    <row r="54" spans="2:8" ht="18.75" customHeight="1" x14ac:dyDescent="0.35">
      <c r="B54" s="10" t="s">
        <v>166</v>
      </c>
      <c r="C54" s="8"/>
      <c r="D54" s="10" t="s">
        <v>40</v>
      </c>
      <c r="E54" s="8"/>
      <c r="F54" s="8"/>
      <c r="G54" s="8">
        <v>4.5682485322896304E-3</v>
      </c>
      <c r="H54" s="8"/>
    </row>
    <row r="55" spans="2:8" ht="18.75" customHeight="1" x14ac:dyDescent="0.35">
      <c r="B55" s="7" t="s">
        <v>167</v>
      </c>
      <c r="C55" s="5"/>
      <c r="D55" s="7" t="s">
        <v>40</v>
      </c>
      <c r="E55" s="5"/>
      <c r="F55" s="5"/>
      <c r="G55" s="5">
        <v>4.5682485322896304E-3</v>
      </c>
      <c r="H55" s="5"/>
    </row>
    <row r="56" spans="2:8" ht="18.75" customHeight="1" x14ac:dyDescent="0.35">
      <c r="B56" s="10" t="s">
        <v>168</v>
      </c>
      <c r="C56" s="8"/>
      <c r="D56" s="10" t="s">
        <v>40</v>
      </c>
      <c r="E56" s="8"/>
      <c r="F56" s="8"/>
      <c r="G56" s="8">
        <v>4.5682485322896304E-3</v>
      </c>
      <c r="H56" s="8"/>
    </row>
    <row r="57" spans="2:8" ht="18.75" customHeight="1" x14ac:dyDescent="0.35">
      <c r="B57" s="7" t="s">
        <v>169</v>
      </c>
      <c r="C57" s="5"/>
      <c r="D57" s="7" t="s">
        <v>40</v>
      </c>
      <c r="E57" s="5"/>
      <c r="F57" s="5"/>
      <c r="G57" s="5">
        <v>4.5682485322896304E-3</v>
      </c>
      <c r="H57" s="5"/>
    </row>
    <row r="58" spans="2:8" ht="18.75" customHeight="1" x14ac:dyDescent="0.35">
      <c r="B58" s="10" t="s">
        <v>170</v>
      </c>
      <c r="C58" s="8"/>
      <c r="D58" s="10" t="s">
        <v>40</v>
      </c>
      <c r="E58" s="8"/>
      <c r="F58" s="8"/>
      <c r="G58" s="8">
        <v>4.5682485322896304E-3</v>
      </c>
      <c r="H58" s="8"/>
    </row>
    <row r="59" spans="2:8" ht="18.75" customHeight="1" x14ac:dyDescent="0.35">
      <c r="B59" s="7" t="s">
        <v>171</v>
      </c>
      <c r="C59" s="5"/>
      <c r="D59" s="7" t="s">
        <v>40</v>
      </c>
      <c r="E59" s="5"/>
      <c r="F59" s="5"/>
      <c r="G59" s="5">
        <v>4.5682485322896304E-3</v>
      </c>
      <c r="H59" s="5"/>
    </row>
    <row r="60" spans="2:8" ht="18.75" customHeight="1" x14ac:dyDescent="0.35">
      <c r="B60" s="10" t="s">
        <v>172</v>
      </c>
      <c r="C60" s="8"/>
      <c r="D60" s="10" t="s">
        <v>40</v>
      </c>
      <c r="E60" s="8"/>
      <c r="F60" s="8"/>
      <c r="G60" s="8">
        <v>4.5682485322896304E-3</v>
      </c>
      <c r="H60" s="8"/>
    </row>
    <row r="61" spans="2:8" ht="18.75" customHeight="1" x14ac:dyDescent="0.35">
      <c r="B61" s="7" t="s">
        <v>173</v>
      </c>
      <c r="C61" s="5"/>
      <c r="D61" s="7" t="s">
        <v>40</v>
      </c>
      <c r="E61" s="5"/>
      <c r="F61" s="5"/>
      <c r="G61" s="5">
        <v>4.5682485322896304E-3</v>
      </c>
      <c r="H61" s="5"/>
    </row>
    <row r="62" spans="2:8" ht="18.75" customHeight="1" x14ac:dyDescent="0.35">
      <c r="B62" s="10" t="s">
        <v>174</v>
      </c>
      <c r="C62" s="8"/>
      <c r="D62" s="10" t="s">
        <v>40</v>
      </c>
      <c r="E62" s="8"/>
      <c r="F62" s="8"/>
      <c r="G62" s="8">
        <v>4.5682485322896304E-3</v>
      </c>
      <c r="H62" s="8"/>
    </row>
    <row r="63" spans="2:8" ht="18.75" customHeight="1" x14ac:dyDescent="0.35">
      <c r="B63" s="7" t="s">
        <v>175</v>
      </c>
      <c r="C63" s="5"/>
      <c r="D63" s="7" t="s">
        <v>40</v>
      </c>
      <c r="E63" s="5"/>
      <c r="F63" s="5"/>
      <c r="G63" s="5">
        <v>4.5682485322896304E-3</v>
      </c>
      <c r="H63" s="5"/>
    </row>
    <row r="64" spans="2:8" ht="18.75" customHeight="1" x14ac:dyDescent="0.35">
      <c r="B64" s="10" t="s">
        <v>176</v>
      </c>
      <c r="C64" s="8"/>
      <c r="D64" s="10" t="s">
        <v>40</v>
      </c>
      <c r="E64" s="8"/>
      <c r="F64" s="8"/>
      <c r="G64" s="8">
        <v>4.5682485322896304E-3</v>
      </c>
      <c r="H64" s="8"/>
    </row>
    <row r="65" spans="2:8" ht="18.75" customHeight="1" x14ac:dyDescent="0.35">
      <c r="B65" s="7" t="s">
        <v>177</v>
      </c>
      <c r="C65" s="5"/>
      <c r="D65" s="7" t="s">
        <v>40</v>
      </c>
      <c r="E65" s="5"/>
      <c r="F65" s="5"/>
      <c r="G65" s="5">
        <v>4.5682485322896304E-3</v>
      </c>
      <c r="H65" s="5"/>
    </row>
    <row r="66" spans="2:8" ht="18.75" customHeight="1" x14ac:dyDescent="0.35">
      <c r="B66" s="10" t="s">
        <v>178</v>
      </c>
      <c r="C66" s="8"/>
      <c r="D66" s="10" t="s">
        <v>40</v>
      </c>
      <c r="E66" s="8"/>
      <c r="F66" s="8"/>
      <c r="G66" s="8">
        <v>4.5315557729941301E-3</v>
      </c>
      <c r="H66" s="8"/>
    </row>
    <row r="67" spans="2:8" ht="18.75" customHeight="1" x14ac:dyDescent="0.35">
      <c r="B67" s="7" t="s">
        <v>179</v>
      </c>
      <c r="C67" s="5"/>
      <c r="D67" s="7" t="s">
        <v>40</v>
      </c>
      <c r="E67" s="5"/>
      <c r="F67" s="5"/>
      <c r="G67" s="5">
        <v>4.5315557729941301E-3</v>
      </c>
      <c r="H67" s="5"/>
    </row>
    <row r="68" spans="2:8" ht="18.75" customHeight="1" x14ac:dyDescent="0.35">
      <c r="B68" s="10" t="s">
        <v>180</v>
      </c>
      <c r="C68" s="8"/>
      <c r="D68" s="10" t="s">
        <v>40</v>
      </c>
      <c r="E68" s="8"/>
      <c r="F68" s="8"/>
      <c r="G68" s="8">
        <v>4.5315557729941301E-3</v>
      </c>
      <c r="H68" s="8"/>
    </row>
    <row r="69" spans="2:8" ht="18.75" customHeight="1" x14ac:dyDescent="0.35">
      <c r="B69" s="7" t="s">
        <v>181</v>
      </c>
      <c r="C69" s="5"/>
      <c r="D69" s="7" t="s">
        <v>40</v>
      </c>
      <c r="E69" s="5"/>
      <c r="F69" s="5"/>
      <c r="G69" s="5">
        <v>4.5315557729941301E-3</v>
      </c>
      <c r="H69" s="5"/>
    </row>
    <row r="70" spans="2:8" ht="18.75" customHeight="1" x14ac:dyDescent="0.35">
      <c r="B70" s="10" t="s">
        <v>182</v>
      </c>
      <c r="C70" s="8"/>
      <c r="D70" s="10" t="s">
        <v>40</v>
      </c>
      <c r="E70" s="8"/>
      <c r="F70" s="8"/>
      <c r="G70" s="8">
        <v>4.5315557729941301E-3</v>
      </c>
      <c r="H70" s="8"/>
    </row>
    <row r="71" spans="2:8" ht="18.75" customHeight="1" x14ac:dyDescent="0.35">
      <c r="B71" s="7" t="s">
        <v>183</v>
      </c>
      <c r="C71" s="5"/>
      <c r="D71" s="7" t="s">
        <v>40</v>
      </c>
      <c r="E71" s="5"/>
      <c r="F71" s="5"/>
      <c r="G71" s="5">
        <v>4.5315557729941301E-3</v>
      </c>
      <c r="H71" s="5"/>
    </row>
    <row r="72" spans="2:8" ht="18.75" customHeight="1" x14ac:dyDescent="0.35">
      <c r="B72" s="10" t="s">
        <v>184</v>
      </c>
      <c r="C72" s="8"/>
      <c r="D72" s="10" t="s">
        <v>40</v>
      </c>
      <c r="E72" s="8"/>
      <c r="F72" s="8"/>
      <c r="G72" s="8">
        <v>4.5315557729941301E-3</v>
      </c>
      <c r="H72" s="8"/>
    </row>
    <row r="73" spans="2:8" ht="18.75" customHeight="1" x14ac:dyDescent="0.35">
      <c r="B73" s="7" t="s">
        <v>185</v>
      </c>
      <c r="C73" s="5"/>
      <c r="D73" s="7" t="s">
        <v>40</v>
      </c>
      <c r="E73" s="5"/>
      <c r="F73" s="5"/>
      <c r="G73" s="5">
        <v>4.5315557729941301E-3</v>
      </c>
      <c r="H73" s="5"/>
    </row>
    <row r="74" spans="2:8" ht="18.75" customHeight="1" x14ac:dyDescent="0.35">
      <c r="B74" s="10" t="s">
        <v>186</v>
      </c>
      <c r="C74" s="8"/>
      <c r="D74" s="10" t="s">
        <v>40</v>
      </c>
      <c r="E74" s="8"/>
      <c r="F74" s="8"/>
      <c r="G74" s="8">
        <v>4.5315557729941301E-3</v>
      </c>
      <c r="H74" s="8"/>
    </row>
    <row r="75" spans="2:8" ht="18.75" customHeight="1" x14ac:dyDescent="0.35">
      <c r="B75" s="7" t="s">
        <v>187</v>
      </c>
      <c r="C75" s="5"/>
      <c r="D75" s="7" t="s">
        <v>40</v>
      </c>
      <c r="E75" s="5"/>
      <c r="F75" s="5"/>
      <c r="G75" s="5">
        <v>4.5315557729941301E-3</v>
      </c>
      <c r="H75" s="5"/>
    </row>
    <row r="76" spans="2:8" ht="18.75" customHeight="1" x14ac:dyDescent="0.35">
      <c r="B76" s="10" t="s">
        <v>188</v>
      </c>
      <c r="C76" s="8"/>
      <c r="D76" s="10" t="s">
        <v>40</v>
      </c>
      <c r="E76" s="8"/>
      <c r="F76" s="8"/>
      <c r="G76" s="8">
        <v>4.5315557729941301E-3</v>
      </c>
      <c r="H76" s="8"/>
    </row>
    <row r="77" spans="2:8" ht="18.75" customHeight="1" x14ac:dyDescent="0.35">
      <c r="B77" s="7" t="s">
        <v>189</v>
      </c>
      <c r="C77" s="5"/>
      <c r="D77" s="7" t="s">
        <v>40</v>
      </c>
      <c r="E77" s="5"/>
      <c r="F77" s="5"/>
      <c r="G77" s="5">
        <v>4.5315557729941301E-3</v>
      </c>
      <c r="H77" s="5"/>
    </row>
    <row r="78" spans="2:8" ht="18.75" customHeight="1" x14ac:dyDescent="0.35">
      <c r="B78" s="10" t="s">
        <v>190</v>
      </c>
      <c r="C78" s="8"/>
      <c r="D78" s="10" t="s">
        <v>40</v>
      </c>
      <c r="E78" s="8"/>
      <c r="F78" s="8"/>
      <c r="G78" s="8">
        <v>4.5315557729941301E-3</v>
      </c>
      <c r="H78" s="8"/>
    </row>
    <row r="79" spans="2:8" ht="18.75" customHeight="1" x14ac:dyDescent="0.35">
      <c r="B79" s="7" t="s">
        <v>191</v>
      </c>
      <c r="C79" s="5"/>
      <c r="D79" s="7" t="s">
        <v>40</v>
      </c>
      <c r="E79" s="5"/>
      <c r="F79" s="5"/>
      <c r="G79" s="5">
        <v>4.5315557729941301E-3</v>
      </c>
      <c r="H79" s="5"/>
    </row>
    <row r="80" spans="2:8" ht="18.75" customHeight="1" x14ac:dyDescent="0.35">
      <c r="B80" s="10" t="s">
        <v>192</v>
      </c>
      <c r="C80" s="8"/>
      <c r="D80" s="10" t="s">
        <v>40</v>
      </c>
      <c r="E80" s="8"/>
      <c r="F80" s="8"/>
      <c r="G80" s="8">
        <v>4.5315557729941301E-3</v>
      </c>
      <c r="H80" s="8"/>
    </row>
    <row r="81" spans="2:8" ht="18.75" customHeight="1" x14ac:dyDescent="0.35">
      <c r="B81" s="7" t="s">
        <v>193</v>
      </c>
      <c r="C81" s="5"/>
      <c r="D81" s="7" t="s">
        <v>40</v>
      </c>
      <c r="E81" s="5"/>
      <c r="F81" s="5"/>
      <c r="G81" s="5">
        <v>4.5315557729941301E-3</v>
      </c>
      <c r="H81" s="5"/>
    </row>
    <row r="82" spans="2:8" ht="18.75" customHeight="1" x14ac:dyDescent="0.35">
      <c r="B82" s="10" t="s">
        <v>194</v>
      </c>
      <c r="C82" s="8"/>
      <c r="D82" s="10" t="s">
        <v>40</v>
      </c>
      <c r="E82" s="8"/>
      <c r="F82" s="8"/>
      <c r="G82" s="8">
        <v>4.5315557729941301E-3</v>
      </c>
      <c r="H82" s="8"/>
    </row>
    <row r="83" spans="2:8" ht="18.75" customHeight="1" x14ac:dyDescent="0.35">
      <c r="B83" s="7" t="s">
        <v>195</v>
      </c>
      <c r="C83" s="5"/>
      <c r="D83" s="7" t="s">
        <v>40</v>
      </c>
      <c r="E83" s="5"/>
      <c r="F83" s="5"/>
      <c r="G83" s="5">
        <v>4.5315557729941301E-3</v>
      </c>
      <c r="H83" s="5"/>
    </row>
    <row r="84" spans="2:8" ht="18.75" customHeight="1" x14ac:dyDescent="0.35">
      <c r="B84" s="10" t="s">
        <v>196</v>
      </c>
      <c r="C84" s="8"/>
      <c r="D84" s="10" t="s">
        <v>40</v>
      </c>
      <c r="E84" s="8"/>
      <c r="F84" s="8"/>
      <c r="G84" s="8">
        <v>4.5315557729941301E-3</v>
      </c>
      <c r="H84" s="8"/>
    </row>
    <row r="85" spans="2:8" ht="18.75" customHeight="1" x14ac:dyDescent="0.35">
      <c r="B85" s="7" t="s">
        <v>197</v>
      </c>
      <c r="C85" s="5"/>
      <c r="D85" s="7" t="s">
        <v>40</v>
      </c>
      <c r="E85" s="5"/>
      <c r="F85" s="5"/>
      <c r="G85" s="5">
        <v>4.5315557729941301E-3</v>
      </c>
      <c r="H85" s="5"/>
    </row>
    <row r="86" spans="2:8" ht="18.75" customHeight="1" x14ac:dyDescent="0.35">
      <c r="B86" s="10" t="s">
        <v>198</v>
      </c>
      <c r="C86" s="8"/>
      <c r="D86" s="10" t="s">
        <v>40</v>
      </c>
      <c r="E86" s="8"/>
      <c r="F86" s="8"/>
      <c r="G86" s="8">
        <v>4.5315557729941301E-3</v>
      </c>
      <c r="H86" s="8"/>
    </row>
    <row r="87" spans="2:8" ht="18.75" customHeight="1" x14ac:dyDescent="0.35">
      <c r="B87" s="7" t="s">
        <v>199</v>
      </c>
      <c r="C87" s="5"/>
      <c r="D87" s="7" t="s">
        <v>40</v>
      </c>
      <c r="E87" s="5"/>
      <c r="F87" s="5"/>
      <c r="G87" s="5">
        <v>4.5315557729941301E-3</v>
      </c>
      <c r="H87" s="5"/>
    </row>
    <row r="88" spans="2:8" ht="18.75" customHeight="1" x14ac:dyDescent="0.35">
      <c r="B88" s="10" t="s">
        <v>200</v>
      </c>
      <c r="C88" s="8"/>
      <c r="D88" s="10" t="s">
        <v>40</v>
      </c>
      <c r="E88" s="8"/>
      <c r="F88" s="8"/>
      <c r="G88" s="8">
        <v>4.5315557729941301E-3</v>
      </c>
      <c r="H88" s="8"/>
    </row>
    <row r="89" spans="2:8" ht="18.75" customHeight="1" x14ac:dyDescent="0.35">
      <c r="B89" s="7" t="s">
        <v>201</v>
      </c>
      <c r="C89" s="5"/>
      <c r="D89" s="7" t="s">
        <v>40</v>
      </c>
      <c r="E89" s="5"/>
      <c r="F89" s="5"/>
      <c r="G89" s="5">
        <v>4.5315557729941301E-3</v>
      </c>
      <c r="H89" s="5"/>
    </row>
    <row r="90" spans="2:8" ht="18.75" customHeight="1" x14ac:dyDescent="0.35">
      <c r="B90" s="10" t="s">
        <v>202</v>
      </c>
      <c r="C90" s="8"/>
      <c r="D90" s="10" t="s">
        <v>40</v>
      </c>
      <c r="E90" s="8"/>
      <c r="F90" s="8"/>
      <c r="G90" s="8">
        <v>4.5315557729941301E-3</v>
      </c>
      <c r="H90" s="8"/>
    </row>
    <row r="91" spans="2:8" ht="18.75" customHeight="1" x14ac:dyDescent="0.35">
      <c r="B91" s="7" t="s">
        <v>203</v>
      </c>
      <c r="C91" s="5"/>
      <c r="D91" s="7" t="s">
        <v>40</v>
      </c>
      <c r="E91" s="5"/>
      <c r="F91" s="5"/>
      <c r="G91" s="5">
        <v>4.5315557729941301E-3</v>
      </c>
      <c r="H91" s="5"/>
    </row>
    <row r="92" spans="2:8" ht="18.75" customHeight="1" x14ac:dyDescent="0.35">
      <c r="B92" s="10" t="s">
        <v>204</v>
      </c>
      <c r="C92" s="8"/>
      <c r="D92" s="10" t="s">
        <v>40</v>
      </c>
      <c r="E92" s="8"/>
      <c r="F92" s="8"/>
      <c r="G92" s="8">
        <v>4.5315557729941301E-3</v>
      </c>
      <c r="H92" s="8"/>
    </row>
    <row r="93" spans="2:8" ht="18.75" customHeight="1" x14ac:dyDescent="0.35">
      <c r="B93" s="7" t="s">
        <v>205</v>
      </c>
      <c r="C93" s="5"/>
      <c r="D93" s="7" t="s">
        <v>40</v>
      </c>
      <c r="E93" s="5"/>
      <c r="F93" s="5"/>
      <c r="G93" s="5">
        <v>4.5315557729941301E-3</v>
      </c>
      <c r="H93" s="5"/>
    </row>
    <row r="94" spans="2:8" ht="18.75" customHeight="1" x14ac:dyDescent="0.35">
      <c r="B94" s="10" t="s">
        <v>206</v>
      </c>
      <c r="C94" s="8"/>
      <c r="D94" s="10" t="s">
        <v>40</v>
      </c>
      <c r="E94" s="8"/>
      <c r="F94" s="8"/>
      <c r="G94" s="8">
        <v>4.5315557729941301E-3</v>
      </c>
      <c r="H94" s="8"/>
    </row>
    <row r="95" spans="2:8" ht="18.75" customHeight="1" x14ac:dyDescent="0.35">
      <c r="B95" s="7" t="s">
        <v>207</v>
      </c>
      <c r="C95" s="5"/>
      <c r="D95" s="7" t="s">
        <v>40</v>
      </c>
      <c r="E95" s="5"/>
      <c r="F95" s="5"/>
      <c r="G95" s="5">
        <v>4.5315557729941301E-3</v>
      </c>
      <c r="H95" s="5"/>
    </row>
    <row r="96" spans="2:8" ht="18.75" customHeight="1" x14ac:dyDescent="0.35">
      <c r="B96" s="10" t="s">
        <v>208</v>
      </c>
      <c r="C96" s="8"/>
      <c r="D96" s="10" t="s">
        <v>40</v>
      </c>
      <c r="E96" s="8"/>
      <c r="F96" s="8"/>
      <c r="G96" s="8">
        <v>4.5315557729941301E-3</v>
      </c>
      <c r="H96" s="8"/>
    </row>
    <row r="97" spans="2:8" ht="18.75" customHeight="1" x14ac:dyDescent="0.35">
      <c r="B97" s="7" t="s">
        <v>209</v>
      </c>
      <c r="C97" s="5"/>
      <c r="D97" s="7" t="s">
        <v>40</v>
      </c>
      <c r="E97" s="5"/>
      <c r="F97" s="5"/>
      <c r="G97" s="5">
        <v>4.5315557729941301E-3</v>
      </c>
      <c r="H97" s="5"/>
    </row>
    <row r="98" spans="2:8" ht="18.75" customHeight="1" x14ac:dyDescent="0.35">
      <c r="B98" s="10" t="s">
        <v>210</v>
      </c>
      <c r="C98" s="8"/>
      <c r="D98" s="10" t="s">
        <v>40</v>
      </c>
      <c r="E98" s="8"/>
      <c r="F98" s="8"/>
      <c r="G98" s="8">
        <v>4.5315557729941301E-3</v>
      </c>
      <c r="H98" s="8"/>
    </row>
    <row r="99" spans="2:8" ht="18.75" customHeight="1" x14ac:dyDescent="0.35">
      <c r="B99" s="7" t="s">
        <v>211</v>
      </c>
      <c r="C99" s="5"/>
      <c r="D99" s="7" t="s">
        <v>40</v>
      </c>
      <c r="E99" s="5"/>
      <c r="F99" s="5"/>
      <c r="G99" s="5">
        <v>4.5315557729941301E-3</v>
      </c>
      <c r="H99" s="5"/>
    </row>
    <row r="100" spans="2:8" ht="18.75" customHeight="1" x14ac:dyDescent="0.35">
      <c r="B100" s="10" t="s">
        <v>212</v>
      </c>
      <c r="C100" s="8"/>
      <c r="D100" s="10" t="s">
        <v>40</v>
      </c>
      <c r="E100" s="8"/>
      <c r="F100" s="8"/>
      <c r="G100" s="8">
        <v>4.5315557729941301E-3</v>
      </c>
      <c r="H100" s="8"/>
    </row>
    <row r="101" spans="2:8" ht="18.75" customHeight="1" x14ac:dyDescent="0.35">
      <c r="B101" s="7" t="s">
        <v>213</v>
      </c>
      <c r="C101" s="5"/>
      <c r="D101" s="7" t="s">
        <v>40</v>
      </c>
      <c r="E101" s="5"/>
      <c r="F101" s="5"/>
      <c r="G101" s="5">
        <v>4.5315557729941301E-3</v>
      </c>
      <c r="H101" s="5"/>
    </row>
    <row r="102" spans="2:8" ht="18.75" customHeight="1" x14ac:dyDescent="0.35">
      <c r="B102" s="10" t="s">
        <v>214</v>
      </c>
      <c r="C102" s="8"/>
      <c r="D102" s="10" t="s">
        <v>40</v>
      </c>
      <c r="E102" s="8"/>
      <c r="F102" s="8"/>
      <c r="G102" s="8">
        <v>4.5315557729941301E-3</v>
      </c>
      <c r="H102" s="8"/>
    </row>
    <row r="103" spans="2:8" ht="18.75" customHeight="1" x14ac:dyDescent="0.35">
      <c r="B103" s="7" t="s">
        <v>215</v>
      </c>
      <c r="C103" s="5"/>
      <c r="D103" s="7" t="s">
        <v>40</v>
      </c>
      <c r="E103" s="5"/>
      <c r="F103" s="5"/>
      <c r="G103" s="5">
        <v>4.5315557729941301E-3</v>
      </c>
      <c r="H103" s="5"/>
    </row>
    <row r="104" spans="2:8" ht="18.75" customHeight="1" x14ac:dyDescent="0.35">
      <c r="B104" s="10" t="s">
        <v>216</v>
      </c>
      <c r="C104" s="8"/>
      <c r="D104" s="10" t="s">
        <v>40</v>
      </c>
      <c r="E104" s="8"/>
      <c r="F104" s="8"/>
      <c r="G104" s="8">
        <v>4.5315557729941301E-3</v>
      </c>
      <c r="H104" s="8"/>
    </row>
    <row r="105" spans="2:8" ht="18.75" customHeight="1" x14ac:dyDescent="0.35">
      <c r="B105" s="7" t="s">
        <v>217</v>
      </c>
      <c r="C105" s="5"/>
      <c r="D105" s="7" t="s">
        <v>40</v>
      </c>
      <c r="E105" s="5"/>
      <c r="F105" s="5"/>
      <c r="G105" s="5">
        <v>4.5315557729941301E-3</v>
      </c>
      <c r="H105" s="5"/>
    </row>
    <row r="106" spans="2:8" ht="18.75" customHeight="1" x14ac:dyDescent="0.35">
      <c r="B106" s="10" t="s">
        <v>218</v>
      </c>
      <c r="C106" s="8"/>
      <c r="D106" s="10" t="s">
        <v>40</v>
      </c>
      <c r="E106" s="8"/>
      <c r="F106" s="8"/>
      <c r="G106" s="8">
        <v>4.5315557729941301E-3</v>
      </c>
      <c r="H106" s="8"/>
    </row>
    <row r="107" spans="2:8" ht="18.75" customHeight="1" x14ac:dyDescent="0.35">
      <c r="B107" s="7" t="s">
        <v>219</v>
      </c>
      <c r="C107" s="5"/>
      <c r="D107" s="7" t="s">
        <v>40</v>
      </c>
      <c r="E107" s="5"/>
      <c r="F107" s="5"/>
      <c r="G107" s="5">
        <v>4.5315557729941301E-3</v>
      </c>
      <c r="H107" s="5"/>
    </row>
    <row r="108" spans="2:8" ht="18.75" customHeight="1" x14ac:dyDescent="0.35">
      <c r="B108" s="10" t="s">
        <v>220</v>
      </c>
      <c r="C108" s="8"/>
      <c r="D108" s="10" t="s">
        <v>40</v>
      </c>
      <c r="E108" s="8"/>
      <c r="F108" s="8"/>
      <c r="G108" s="8">
        <v>4.5315557729941301E-3</v>
      </c>
      <c r="H108" s="8"/>
    </row>
    <row r="109" spans="2:8" ht="18.75" customHeight="1" x14ac:dyDescent="0.35">
      <c r="B109" s="7" t="s">
        <v>221</v>
      </c>
      <c r="C109" s="5"/>
      <c r="D109" s="7" t="s">
        <v>40</v>
      </c>
      <c r="E109" s="5"/>
      <c r="F109" s="5"/>
      <c r="G109" s="5">
        <v>4.5315557729941301E-3</v>
      </c>
      <c r="H109" s="5"/>
    </row>
    <row r="110" spans="2:8" ht="18.75" customHeight="1" x14ac:dyDescent="0.35">
      <c r="B110" s="10" t="s">
        <v>222</v>
      </c>
      <c r="C110" s="8"/>
      <c r="D110" s="10" t="s">
        <v>40</v>
      </c>
      <c r="E110" s="8"/>
      <c r="F110" s="8"/>
      <c r="G110" s="8">
        <v>4.5315557729941301E-3</v>
      </c>
      <c r="H110" s="8"/>
    </row>
    <row r="111" spans="2:8" ht="18.75" customHeight="1" x14ac:dyDescent="0.35">
      <c r="B111" s="7" t="s">
        <v>223</v>
      </c>
      <c r="C111" s="5"/>
      <c r="D111" s="7" t="s">
        <v>40</v>
      </c>
      <c r="E111" s="5"/>
      <c r="F111" s="5"/>
      <c r="G111" s="5">
        <v>4.5315557729941301E-3</v>
      </c>
      <c r="H111" s="5"/>
    </row>
    <row r="112" spans="2:8" ht="18.75" customHeight="1" x14ac:dyDescent="0.35">
      <c r="B112" s="10" t="s">
        <v>224</v>
      </c>
      <c r="C112" s="8"/>
      <c r="D112" s="10" t="s">
        <v>40</v>
      </c>
      <c r="E112" s="8"/>
      <c r="F112" s="8"/>
      <c r="G112" s="8">
        <v>4.5315557729941301E-3</v>
      </c>
      <c r="H112" s="8"/>
    </row>
    <row r="113" spans="2:8" ht="18.75" customHeight="1" x14ac:dyDescent="0.35">
      <c r="B113" s="7" t="s">
        <v>225</v>
      </c>
      <c r="C113" s="5"/>
      <c r="D113" s="7" t="s">
        <v>40</v>
      </c>
      <c r="E113" s="5"/>
      <c r="F113" s="5"/>
      <c r="G113" s="5">
        <v>4.5315557729941301E-3</v>
      </c>
      <c r="H113" s="5"/>
    </row>
    <row r="114" spans="2:8" ht="18.75" customHeight="1" x14ac:dyDescent="0.35">
      <c r="B114" s="10" t="s">
        <v>226</v>
      </c>
      <c r="C114" s="8"/>
      <c r="D114" s="10" t="s">
        <v>40</v>
      </c>
      <c r="E114" s="8"/>
      <c r="F114" s="8"/>
      <c r="G114" s="8">
        <v>4.5315557729941301E-3</v>
      </c>
      <c r="H114" s="8"/>
    </row>
    <row r="115" spans="2:8" ht="18.75" customHeight="1" x14ac:dyDescent="0.35">
      <c r="B115" s="7" t="s">
        <v>227</v>
      </c>
      <c r="C115" s="5"/>
      <c r="D115" s="7" t="s">
        <v>40</v>
      </c>
      <c r="E115" s="5"/>
      <c r="F115" s="5"/>
      <c r="G115" s="5">
        <v>4.5315557729941301E-3</v>
      </c>
      <c r="H115" s="5"/>
    </row>
    <row r="116" spans="2:8" ht="18.75" customHeight="1" x14ac:dyDescent="0.35">
      <c r="B116" s="10" t="s">
        <v>228</v>
      </c>
      <c r="C116" s="8"/>
      <c r="D116" s="10" t="s">
        <v>40</v>
      </c>
      <c r="E116" s="8"/>
      <c r="F116" s="8"/>
      <c r="G116" s="8">
        <v>4.5315557729941301E-3</v>
      </c>
      <c r="H116" s="8"/>
    </row>
    <row r="117" spans="2:8" ht="18.75" customHeight="1" x14ac:dyDescent="0.35">
      <c r="B117" s="7" t="s">
        <v>229</v>
      </c>
      <c r="C117" s="5"/>
      <c r="D117" s="7" t="s">
        <v>40</v>
      </c>
      <c r="E117" s="5"/>
      <c r="F117" s="5"/>
      <c r="G117" s="5">
        <v>4.5315557729941301E-3</v>
      </c>
      <c r="H117" s="5"/>
    </row>
    <row r="118" spans="2:8" ht="18.75" customHeight="1" x14ac:dyDescent="0.35">
      <c r="B118" s="10" t="s">
        <v>230</v>
      </c>
      <c r="C118" s="8"/>
      <c r="D118" s="10" t="s">
        <v>40</v>
      </c>
      <c r="E118" s="8"/>
      <c r="F118" s="8"/>
      <c r="G118" s="8">
        <v>4.5315557729941301E-3</v>
      </c>
      <c r="H118" s="8"/>
    </row>
    <row r="119" spans="2:8" ht="18.75" customHeight="1" x14ac:dyDescent="0.35">
      <c r="B119" s="7" t="s">
        <v>231</v>
      </c>
      <c r="C119" s="5"/>
      <c r="D119" s="7" t="s">
        <v>40</v>
      </c>
      <c r="E119" s="5"/>
      <c r="F119" s="5"/>
      <c r="G119" s="5">
        <v>4.5315557729941301E-3</v>
      </c>
      <c r="H119" s="5"/>
    </row>
    <row r="120" spans="2:8" ht="18.75" customHeight="1" x14ac:dyDescent="0.35">
      <c r="B120" s="10" t="s">
        <v>232</v>
      </c>
      <c r="C120" s="8"/>
      <c r="D120" s="10" t="s">
        <v>40</v>
      </c>
      <c r="E120" s="8"/>
      <c r="F120" s="8"/>
      <c r="G120" s="8">
        <v>4.5315557729941301E-3</v>
      </c>
      <c r="H120" s="8"/>
    </row>
    <row r="121" spans="2:8" ht="18.75" customHeight="1" x14ac:dyDescent="0.35">
      <c r="B121" s="7" t="s">
        <v>233</v>
      </c>
      <c r="C121" s="5"/>
      <c r="D121" s="7" t="s">
        <v>40</v>
      </c>
      <c r="E121" s="5"/>
      <c r="F121" s="5"/>
      <c r="G121" s="5">
        <v>4.5315557729941301E-3</v>
      </c>
      <c r="H121" s="5"/>
    </row>
    <row r="122" spans="2:8" ht="18.75" customHeight="1" x14ac:dyDescent="0.35">
      <c r="B122" s="10" t="s">
        <v>234</v>
      </c>
      <c r="C122" s="8"/>
      <c r="D122" s="10" t="s">
        <v>40</v>
      </c>
      <c r="E122" s="8"/>
      <c r="F122" s="8"/>
      <c r="G122" s="8">
        <v>4.4031311154598797E-3</v>
      </c>
      <c r="H122" s="8"/>
    </row>
    <row r="123" spans="2:8" ht="18.75" customHeight="1" x14ac:dyDescent="0.35">
      <c r="B123" s="7" t="s">
        <v>235</v>
      </c>
      <c r="C123" s="5"/>
      <c r="D123" s="7" t="s">
        <v>40</v>
      </c>
      <c r="E123" s="5"/>
      <c r="F123" s="5"/>
      <c r="G123" s="5">
        <v>4.4031311154598797E-3</v>
      </c>
      <c r="H123" s="5"/>
    </row>
    <row r="124" spans="2:8" ht="18.75" customHeight="1" x14ac:dyDescent="0.35">
      <c r="B124" s="10" t="s">
        <v>236</v>
      </c>
      <c r="C124" s="8"/>
      <c r="D124" s="10" t="s">
        <v>40</v>
      </c>
      <c r="E124" s="8"/>
      <c r="F124" s="8"/>
      <c r="G124" s="8">
        <v>4.4031311154598797E-3</v>
      </c>
      <c r="H124" s="8"/>
    </row>
    <row r="125" spans="2:8" ht="18.75" customHeight="1" x14ac:dyDescent="0.35">
      <c r="B125" s="7" t="s">
        <v>237</v>
      </c>
      <c r="C125" s="5"/>
      <c r="D125" s="7" t="s">
        <v>40</v>
      </c>
      <c r="E125" s="5"/>
      <c r="F125" s="5"/>
      <c r="G125" s="5">
        <v>4.4031311154598797E-3</v>
      </c>
      <c r="H125" s="5"/>
    </row>
    <row r="126" spans="2:8" ht="18.75" customHeight="1" x14ac:dyDescent="0.35">
      <c r="B126" s="10" t="s">
        <v>238</v>
      </c>
      <c r="C126" s="8"/>
      <c r="D126" s="10" t="s">
        <v>40</v>
      </c>
      <c r="E126" s="8"/>
      <c r="F126" s="8"/>
      <c r="G126" s="8">
        <v>4.4031311154598797E-3</v>
      </c>
      <c r="H126" s="8"/>
    </row>
    <row r="127" spans="2:8" ht="18.75" customHeight="1" x14ac:dyDescent="0.35">
      <c r="B127" s="7" t="s">
        <v>239</v>
      </c>
      <c r="C127" s="5"/>
      <c r="D127" s="7" t="s">
        <v>40</v>
      </c>
      <c r="E127" s="5"/>
      <c r="F127" s="5"/>
      <c r="G127" s="5">
        <v>4.4031311154598797E-3</v>
      </c>
      <c r="H127" s="5"/>
    </row>
    <row r="128" spans="2:8" ht="18.75" customHeight="1" x14ac:dyDescent="0.35">
      <c r="B128" s="10" t="s">
        <v>240</v>
      </c>
      <c r="C128" s="8"/>
      <c r="D128" s="10" t="s">
        <v>40</v>
      </c>
      <c r="E128" s="8"/>
      <c r="F128" s="8"/>
      <c r="G128" s="8">
        <v>4.4031311154598797E-3</v>
      </c>
      <c r="H128" s="8"/>
    </row>
    <row r="129" spans="2:8" ht="18.75" customHeight="1" x14ac:dyDescent="0.35">
      <c r="B129" s="7" t="s">
        <v>241</v>
      </c>
      <c r="C129" s="5"/>
      <c r="D129" s="7" t="s">
        <v>40</v>
      </c>
      <c r="E129" s="5"/>
      <c r="F129" s="5"/>
      <c r="G129" s="5">
        <v>4.4031311154598797E-3</v>
      </c>
      <c r="H129" s="5"/>
    </row>
    <row r="130" spans="2:8" ht="18.75" customHeight="1" x14ac:dyDescent="0.35">
      <c r="B130" s="10" t="s">
        <v>242</v>
      </c>
      <c r="C130" s="8"/>
      <c r="D130" s="10" t="s">
        <v>40</v>
      </c>
      <c r="E130" s="8"/>
      <c r="F130" s="8"/>
      <c r="G130" s="8">
        <v>4.4031311154598797E-3</v>
      </c>
      <c r="H130" s="8"/>
    </row>
    <row r="131" spans="2:8" ht="18.75" customHeight="1" x14ac:dyDescent="0.35">
      <c r="B131" s="7" t="s">
        <v>243</v>
      </c>
      <c r="C131" s="5"/>
      <c r="D131" s="7" t="s">
        <v>40</v>
      </c>
      <c r="E131" s="5"/>
      <c r="F131" s="5"/>
      <c r="G131" s="5">
        <v>4.4031311154598797E-3</v>
      </c>
      <c r="H131" s="5"/>
    </row>
    <row r="132" spans="2:8" ht="18.75" customHeight="1" x14ac:dyDescent="0.35">
      <c r="B132" s="10" t="s">
        <v>244</v>
      </c>
      <c r="C132" s="8"/>
      <c r="D132" s="10" t="s">
        <v>40</v>
      </c>
      <c r="E132" s="8"/>
      <c r="F132" s="8"/>
      <c r="G132" s="8">
        <v>4.4031311154598797E-3</v>
      </c>
      <c r="H132" s="8"/>
    </row>
    <row r="133" spans="2:8" ht="18.75" customHeight="1" x14ac:dyDescent="0.35">
      <c r="B133" s="7" t="s">
        <v>245</v>
      </c>
      <c r="C133" s="5"/>
      <c r="D133" s="7" t="s">
        <v>40</v>
      </c>
      <c r="E133" s="5"/>
      <c r="F133" s="5"/>
      <c r="G133" s="5">
        <v>4.4031311154598797E-3</v>
      </c>
      <c r="H133" s="5"/>
    </row>
    <row r="134" spans="2:8" ht="18.75" customHeight="1" x14ac:dyDescent="0.35">
      <c r="B134" s="10" t="s">
        <v>246</v>
      </c>
      <c r="C134" s="8"/>
      <c r="D134" s="10" t="s">
        <v>40</v>
      </c>
      <c r="E134" s="8"/>
      <c r="F134" s="8"/>
      <c r="G134" s="8">
        <v>4.4031311154598797E-3</v>
      </c>
      <c r="H134" s="8"/>
    </row>
    <row r="135" spans="2:8" ht="18.75" customHeight="1" x14ac:dyDescent="0.35">
      <c r="B135" s="7" t="s">
        <v>247</v>
      </c>
      <c r="C135" s="5"/>
      <c r="D135" s="7" t="s">
        <v>40</v>
      </c>
      <c r="E135" s="5"/>
      <c r="F135" s="5"/>
      <c r="G135" s="5">
        <v>4.4031311154598797E-3</v>
      </c>
      <c r="H135" s="5"/>
    </row>
    <row r="136" spans="2:8" ht="18.75" customHeight="1" x14ac:dyDescent="0.35">
      <c r="B136" s="10" t="s">
        <v>248</v>
      </c>
      <c r="C136" s="8"/>
      <c r="D136" s="10" t="s">
        <v>40</v>
      </c>
      <c r="E136" s="8"/>
      <c r="F136" s="8"/>
      <c r="G136" s="8">
        <v>4.4031311154598797E-3</v>
      </c>
      <c r="H136" s="8"/>
    </row>
    <row r="137" spans="2:8" ht="18.75" customHeight="1" x14ac:dyDescent="0.35">
      <c r="B137" s="7" t="s">
        <v>249</v>
      </c>
      <c r="C137" s="5"/>
      <c r="D137" s="7" t="s">
        <v>40</v>
      </c>
      <c r="E137" s="5"/>
      <c r="F137" s="5"/>
      <c r="G137" s="5">
        <v>4.4031311154598797E-3</v>
      </c>
      <c r="H137" s="5"/>
    </row>
    <row r="138" spans="2:8" ht="18.75" customHeight="1" x14ac:dyDescent="0.35">
      <c r="B138" s="10" t="s">
        <v>250</v>
      </c>
      <c r="C138" s="8"/>
      <c r="D138" s="10" t="s">
        <v>40</v>
      </c>
      <c r="E138" s="8"/>
      <c r="F138" s="8"/>
      <c r="G138" s="8">
        <v>4.4031311154598797E-3</v>
      </c>
      <c r="H138" s="8"/>
    </row>
    <row r="139" spans="2:8" ht="18.75" customHeight="1" x14ac:dyDescent="0.35">
      <c r="B139" s="7" t="s">
        <v>251</v>
      </c>
      <c r="C139" s="5"/>
      <c r="D139" s="7" t="s">
        <v>40</v>
      </c>
      <c r="E139" s="5"/>
      <c r="F139" s="5"/>
      <c r="G139" s="5">
        <v>4.4031311154598797E-3</v>
      </c>
      <c r="H139" s="5"/>
    </row>
    <row r="140" spans="2:8" ht="18.75" customHeight="1" x14ac:dyDescent="0.35">
      <c r="B140" s="10" t="s">
        <v>252</v>
      </c>
      <c r="C140" s="8"/>
      <c r="D140" s="10" t="s">
        <v>40</v>
      </c>
      <c r="E140" s="8"/>
      <c r="F140" s="8"/>
      <c r="G140" s="8">
        <v>4.4031311154598797E-3</v>
      </c>
      <c r="H140" s="8"/>
    </row>
    <row r="141" spans="2:8" ht="18.75" customHeight="1" x14ac:dyDescent="0.35">
      <c r="B141" s="7" t="s">
        <v>253</v>
      </c>
      <c r="C141" s="5"/>
      <c r="D141" s="7" t="s">
        <v>40</v>
      </c>
      <c r="E141" s="5"/>
      <c r="F141" s="5"/>
      <c r="G141" s="5">
        <v>4.4031311154598797E-3</v>
      </c>
      <c r="H141" s="5"/>
    </row>
    <row r="142" spans="2:8" ht="18.75" customHeight="1" x14ac:dyDescent="0.35">
      <c r="B142" s="10" t="s">
        <v>254</v>
      </c>
      <c r="C142" s="8"/>
      <c r="D142" s="10" t="s">
        <v>40</v>
      </c>
      <c r="E142" s="8"/>
      <c r="F142" s="8"/>
      <c r="G142" s="8">
        <v>4.4031311154598797E-3</v>
      </c>
      <c r="H142" s="8"/>
    </row>
    <row r="143" spans="2:8" ht="18.75" customHeight="1" x14ac:dyDescent="0.35">
      <c r="B143" s="7" t="s">
        <v>255</v>
      </c>
      <c r="C143" s="5"/>
      <c r="D143" s="7" t="s">
        <v>40</v>
      </c>
      <c r="E143" s="5"/>
      <c r="F143" s="5"/>
      <c r="G143" s="5">
        <v>4.4031311154598797E-3</v>
      </c>
      <c r="H143" s="5"/>
    </row>
    <row r="144" spans="2:8" ht="18.75" customHeight="1" x14ac:dyDescent="0.35">
      <c r="B144" s="10" t="s">
        <v>256</v>
      </c>
      <c r="C144" s="8"/>
      <c r="D144" s="10" t="s">
        <v>40</v>
      </c>
      <c r="E144" s="8"/>
      <c r="F144" s="8"/>
      <c r="G144" s="8">
        <v>4.4031311154598797E-3</v>
      </c>
      <c r="H144" s="8"/>
    </row>
    <row r="145" spans="2:8" ht="18.75" customHeight="1" x14ac:dyDescent="0.35">
      <c r="B145" s="7" t="s">
        <v>257</v>
      </c>
      <c r="C145" s="5"/>
      <c r="D145" s="7" t="s">
        <v>40</v>
      </c>
      <c r="E145" s="5"/>
      <c r="F145" s="5"/>
      <c r="G145" s="5">
        <v>4.4031311154598797E-3</v>
      </c>
      <c r="H145" s="5"/>
    </row>
    <row r="146" spans="2:8" ht="18.75" customHeight="1" x14ac:dyDescent="0.35">
      <c r="B146" s="10" t="s">
        <v>258</v>
      </c>
      <c r="C146" s="8"/>
      <c r="D146" s="10" t="s">
        <v>40</v>
      </c>
      <c r="E146" s="8"/>
      <c r="F146" s="8"/>
      <c r="G146" s="8">
        <v>4.4031311154598797E-3</v>
      </c>
      <c r="H146" s="8"/>
    </row>
    <row r="147" spans="2:8" ht="18.75" customHeight="1" x14ac:dyDescent="0.35">
      <c r="B147" s="7" t="s">
        <v>259</v>
      </c>
      <c r="C147" s="5"/>
      <c r="D147" s="7" t="s">
        <v>40</v>
      </c>
      <c r="E147" s="5"/>
      <c r="F147" s="5"/>
      <c r="G147" s="5">
        <v>4.4031311154598797E-3</v>
      </c>
      <c r="H147" s="5"/>
    </row>
    <row r="148" spans="2:8" ht="18.75" customHeight="1" x14ac:dyDescent="0.35">
      <c r="B148" s="10" t="s">
        <v>260</v>
      </c>
      <c r="C148" s="8"/>
      <c r="D148" s="10" t="s">
        <v>40</v>
      </c>
      <c r="E148" s="8"/>
      <c r="F148" s="8"/>
      <c r="G148" s="8">
        <v>4.4031311154598797E-3</v>
      </c>
      <c r="H148" s="8"/>
    </row>
    <row r="149" spans="2:8" ht="18.75" customHeight="1" x14ac:dyDescent="0.35">
      <c r="B149" s="7" t="s">
        <v>261</v>
      </c>
      <c r="C149" s="5"/>
      <c r="D149" s="7" t="s">
        <v>40</v>
      </c>
      <c r="E149" s="5"/>
      <c r="F149" s="5"/>
      <c r="G149" s="5">
        <v>4.4031311154598797E-3</v>
      </c>
      <c r="H149" s="5"/>
    </row>
    <row r="150" spans="2:8" ht="18.75" customHeight="1" x14ac:dyDescent="0.35">
      <c r="B150" s="10" t="s">
        <v>262</v>
      </c>
      <c r="C150" s="8"/>
      <c r="D150" s="10" t="s">
        <v>40</v>
      </c>
      <c r="E150" s="8"/>
      <c r="F150" s="8"/>
      <c r="G150" s="8">
        <v>4.4031311154598797E-3</v>
      </c>
      <c r="H150" s="8"/>
    </row>
    <row r="151" spans="2:8" ht="18.75" customHeight="1" x14ac:dyDescent="0.35">
      <c r="B151" s="7" t="s">
        <v>263</v>
      </c>
      <c r="C151" s="5"/>
      <c r="D151" s="7" t="s">
        <v>40</v>
      </c>
      <c r="E151" s="5"/>
      <c r="F151" s="5"/>
      <c r="G151" s="5">
        <v>4.4031311154598797E-3</v>
      </c>
      <c r="H151" s="5"/>
    </row>
    <row r="152" spans="2:8" ht="18.75" customHeight="1" x14ac:dyDescent="0.35">
      <c r="B152" s="10" t="s">
        <v>264</v>
      </c>
      <c r="C152" s="8"/>
      <c r="D152" s="10" t="s">
        <v>40</v>
      </c>
      <c r="E152" s="8"/>
      <c r="F152" s="8"/>
      <c r="G152" s="8">
        <v>4.4031311154598797E-3</v>
      </c>
      <c r="H152" s="8"/>
    </row>
    <row r="153" spans="2:8" ht="18.75" customHeight="1" x14ac:dyDescent="0.35">
      <c r="B153" s="7" t="s">
        <v>265</v>
      </c>
      <c r="C153" s="5"/>
      <c r="D153" s="7" t="s">
        <v>40</v>
      </c>
      <c r="E153" s="5"/>
      <c r="F153" s="5"/>
      <c r="G153" s="5">
        <v>4.4031311154598797E-3</v>
      </c>
      <c r="H153" s="5"/>
    </row>
    <row r="154" spans="2:8" ht="18.75" customHeight="1" x14ac:dyDescent="0.35">
      <c r="B154" s="10" t="s">
        <v>266</v>
      </c>
      <c r="C154" s="8"/>
      <c r="D154" s="10" t="s">
        <v>40</v>
      </c>
      <c r="E154" s="8"/>
      <c r="F154" s="8"/>
      <c r="G154" s="8">
        <v>4.4031311154598797E-3</v>
      </c>
      <c r="H154" s="8"/>
    </row>
    <row r="155" spans="2:8" ht="18.75" customHeight="1" x14ac:dyDescent="0.35">
      <c r="B155" s="7" t="s">
        <v>267</v>
      </c>
      <c r="C155" s="5"/>
      <c r="D155" s="7" t="s">
        <v>40</v>
      </c>
      <c r="E155" s="5"/>
      <c r="F155" s="5"/>
      <c r="G155" s="5">
        <v>4.4031311154598797E-3</v>
      </c>
      <c r="H155" s="5"/>
    </row>
    <row r="156" spans="2:8" ht="18.75" customHeight="1" x14ac:dyDescent="0.35">
      <c r="B156" s="10" t="s">
        <v>268</v>
      </c>
      <c r="C156" s="8"/>
      <c r="D156" s="10" t="s">
        <v>40</v>
      </c>
      <c r="E156" s="8"/>
      <c r="F156" s="8"/>
      <c r="G156" s="8">
        <v>4.4031311154598797E-3</v>
      </c>
      <c r="H156" s="8"/>
    </row>
    <row r="157" spans="2:8" ht="18.75" customHeight="1" x14ac:dyDescent="0.35">
      <c r="B157" s="7" t="s">
        <v>269</v>
      </c>
      <c r="C157" s="5"/>
      <c r="D157" s="7" t="s">
        <v>40</v>
      </c>
      <c r="E157" s="5"/>
      <c r="F157" s="5"/>
      <c r="G157" s="5">
        <v>4.4031311154598797E-3</v>
      </c>
      <c r="H157" s="5"/>
    </row>
    <row r="158" spans="2:8" ht="18.75" customHeight="1" x14ac:dyDescent="0.35">
      <c r="B158" s="10" t="s">
        <v>270</v>
      </c>
      <c r="C158" s="8"/>
      <c r="D158" s="10" t="s">
        <v>40</v>
      </c>
      <c r="E158" s="8"/>
      <c r="F158" s="8"/>
      <c r="G158" s="8">
        <v>4.4031311154598797E-3</v>
      </c>
      <c r="H158" s="8"/>
    </row>
    <row r="159" spans="2:8" ht="18.75" customHeight="1" x14ac:dyDescent="0.35">
      <c r="B159" s="7" t="s">
        <v>271</v>
      </c>
      <c r="C159" s="5"/>
      <c r="D159" s="7" t="s">
        <v>40</v>
      </c>
      <c r="E159" s="5"/>
      <c r="F159" s="5"/>
      <c r="G159" s="5">
        <v>4.4031311154598797E-3</v>
      </c>
      <c r="H159" s="5"/>
    </row>
    <row r="160" spans="2:8" ht="18.75" customHeight="1" x14ac:dyDescent="0.35">
      <c r="B160" s="10" t="s">
        <v>272</v>
      </c>
      <c r="C160" s="8"/>
      <c r="D160" s="10" t="s">
        <v>40</v>
      </c>
      <c r="E160" s="8"/>
      <c r="F160" s="8"/>
      <c r="G160" s="8">
        <v>4.4031311154598797E-3</v>
      </c>
      <c r="H160" s="8"/>
    </row>
    <row r="161" spans="2:8" ht="18.75" customHeight="1" x14ac:dyDescent="0.35">
      <c r="B161" s="7" t="s">
        <v>273</v>
      </c>
      <c r="C161" s="5"/>
      <c r="D161" s="7" t="s">
        <v>40</v>
      </c>
      <c r="E161" s="5"/>
      <c r="F161" s="5"/>
      <c r="G161" s="5">
        <v>4.4031311154598797E-3</v>
      </c>
      <c r="H161" s="5"/>
    </row>
    <row r="162" spans="2:8" ht="18.75" customHeight="1" x14ac:dyDescent="0.35">
      <c r="B162" s="10" t="s">
        <v>274</v>
      </c>
      <c r="C162" s="8"/>
      <c r="D162" s="10" t="s">
        <v>40</v>
      </c>
      <c r="E162" s="8"/>
      <c r="F162" s="8"/>
      <c r="G162" s="8">
        <v>4.4031311154598797E-3</v>
      </c>
      <c r="H162" s="8"/>
    </row>
    <row r="163" spans="2:8" ht="18.75" customHeight="1" x14ac:dyDescent="0.35">
      <c r="B163" s="7" t="s">
        <v>275</v>
      </c>
      <c r="C163" s="5"/>
      <c r="D163" s="7" t="s">
        <v>40</v>
      </c>
      <c r="E163" s="5"/>
      <c r="F163" s="5"/>
      <c r="G163" s="5">
        <v>4.4031311154598797E-3</v>
      </c>
      <c r="H163" s="5"/>
    </row>
    <row r="164" spans="2:8" ht="18.75" customHeight="1" x14ac:dyDescent="0.35">
      <c r="B164" s="10" t="s">
        <v>276</v>
      </c>
      <c r="C164" s="8"/>
      <c r="D164" s="10" t="s">
        <v>40</v>
      </c>
      <c r="E164" s="8"/>
      <c r="F164" s="8"/>
      <c r="G164" s="8">
        <v>4.4031311154598797E-3</v>
      </c>
      <c r="H164" s="8"/>
    </row>
    <row r="165" spans="2:8" ht="18.75" customHeight="1" x14ac:dyDescent="0.35">
      <c r="B165" s="7" t="s">
        <v>277</v>
      </c>
      <c r="C165" s="5"/>
      <c r="D165" s="7" t="s">
        <v>40</v>
      </c>
      <c r="E165" s="5"/>
      <c r="F165" s="5"/>
      <c r="G165" s="5">
        <v>4.4031311154598797E-3</v>
      </c>
      <c r="H165" s="5"/>
    </row>
    <row r="166" spans="2:8" ht="18.75" customHeight="1" x14ac:dyDescent="0.35">
      <c r="B166" s="10" t="s">
        <v>278</v>
      </c>
      <c r="C166" s="8"/>
      <c r="D166" s="10" t="s">
        <v>40</v>
      </c>
      <c r="E166" s="8"/>
      <c r="F166" s="8"/>
      <c r="G166" s="8">
        <v>4.4031311154598797E-3</v>
      </c>
      <c r="H166" s="8"/>
    </row>
    <row r="167" spans="2:8" ht="18.75" customHeight="1" x14ac:dyDescent="0.35">
      <c r="B167" s="7" t="s">
        <v>279</v>
      </c>
      <c r="C167" s="5"/>
      <c r="D167" s="7" t="s">
        <v>40</v>
      </c>
      <c r="E167" s="5"/>
      <c r="F167" s="5"/>
      <c r="G167" s="5">
        <v>4.4031311154598797E-3</v>
      </c>
      <c r="H167" s="5"/>
    </row>
    <row r="168" spans="2:8" ht="18.75" customHeight="1" x14ac:dyDescent="0.35">
      <c r="B168" s="10" t="s">
        <v>280</v>
      </c>
      <c r="C168" s="8"/>
      <c r="D168" s="10" t="s">
        <v>40</v>
      </c>
      <c r="E168" s="8"/>
      <c r="F168" s="8"/>
      <c r="G168" s="8">
        <v>4.4031311154598797E-3</v>
      </c>
      <c r="H168" s="8"/>
    </row>
    <row r="169" spans="2:8" ht="18.75" customHeight="1" x14ac:dyDescent="0.35">
      <c r="B169" s="7" t="s">
        <v>281</v>
      </c>
      <c r="C169" s="5"/>
      <c r="D169" s="7" t="s">
        <v>40</v>
      </c>
      <c r="E169" s="5"/>
      <c r="F169" s="5"/>
      <c r="G169" s="5">
        <v>4.4031311154598797E-3</v>
      </c>
      <c r="H169" s="5"/>
    </row>
    <row r="170" spans="2:8" ht="18.75" customHeight="1" x14ac:dyDescent="0.35">
      <c r="B170" s="10" t="s">
        <v>282</v>
      </c>
      <c r="C170" s="8"/>
      <c r="D170" s="10" t="s">
        <v>40</v>
      </c>
      <c r="E170" s="8"/>
      <c r="F170" s="8"/>
      <c r="G170" s="8">
        <v>4.4031311154598797E-3</v>
      </c>
      <c r="H170" s="8"/>
    </row>
    <row r="171" spans="2:8" ht="18.75" customHeight="1" x14ac:dyDescent="0.35">
      <c r="B171" s="7" t="s">
        <v>283</v>
      </c>
      <c r="C171" s="5"/>
      <c r="D171" s="7" t="s">
        <v>40</v>
      </c>
      <c r="E171" s="5"/>
      <c r="F171" s="5"/>
      <c r="G171" s="5">
        <v>4.4031311154598797E-3</v>
      </c>
      <c r="H171" s="5"/>
    </row>
    <row r="172" spans="2:8" ht="18.75" customHeight="1" x14ac:dyDescent="0.35">
      <c r="B172" s="10" t="s">
        <v>284</v>
      </c>
      <c r="C172" s="8"/>
      <c r="D172" s="10" t="s">
        <v>40</v>
      </c>
      <c r="E172" s="8"/>
      <c r="F172" s="8"/>
      <c r="G172" s="8">
        <v>4.4031311154598797E-3</v>
      </c>
      <c r="H172" s="8"/>
    </row>
    <row r="173" spans="2:8" ht="18.75" customHeight="1" x14ac:dyDescent="0.35">
      <c r="B173" s="7" t="s">
        <v>285</v>
      </c>
      <c r="C173" s="5"/>
      <c r="D173" s="7" t="s">
        <v>40</v>
      </c>
      <c r="E173" s="5"/>
      <c r="F173" s="5"/>
      <c r="G173" s="5">
        <v>4.4031311154598797E-3</v>
      </c>
      <c r="H173" s="5"/>
    </row>
    <row r="174" spans="2:8" ht="18.75" customHeight="1" x14ac:dyDescent="0.35">
      <c r="B174" s="10" t="s">
        <v>286</v>
      </c>
      <c r="C174" s="8"/>
      <c r="D174" s="10" t="s">
        <v>40</v>
      </c>
      <c r="E174" s="8"/>
      <c r="F174" s="8"/>
      <c r="G174" s="8">
        <v>4.4031311154598797E-3</v>
      </c>
      <c r="H174" s="8"/>
    </row>
    <row r="175" spans="2:8" ht="18.75" customHeight="1" x14ac:dyDescent="0.35">
      <c r="B175" s="7" t="s">
        <v>287</v>
      </c>
      <c r="C175" s="5"/>
      <c r="D175" s="7" t="s">
        <v>40</v>
      </c>
      <c r="E175" s="5"/>
      <c r="F175" s="5"/>
      <c r="G175" s="5">
        <v>4.4031311154598797E-3</v>
      </c>
      <c r="H175" s="5"/>
    </row>
    <row r="176" spans="2:8" ht="18.75" customHeight="1" x14ac:dyDescent="0.35">
      <c r="B176" s="10" t="s">
        <v>288</v>
      </c>
      <c r="C176" s="8"/>
      <c r="D176" s="10" t="s">
        <v>40</v>
      </c>
      <c r="E176" s="8"/>
      <c r="F176" s="8"/>
      <c r="G176" s="8">
        <v>4.4031311154598797E-3</v>
      </c>
      <c r="H176" s="8"/>
    </row>
    <row r="177" spans="2:8" ht="18.75" customHeight="1" x14ac:dyDescent="0.35">
      <c r="B177" s="7" t="s">
        <v>289</v>
      </c>
      <c r="C177" s="5"/>
      <c r="D177" s="7" t="s">
        <v>40</v>
      </c>
      <c r="E177" s="5"/>
      <c r="F177" s="5"/>
      <c r="G177" s="5">
        <v>4.4031311154598797E-3</v>
      </c>
      <c r="H177" s="5"/>
    </row>
    <row r="178" spans="2:8" ht="18.75" customHeight="1" x14ac:dyDescent="0.35">
      <c r="B178" s="10" t="s">
        <v>290</v>
      </c>
      <c r="C178" s="8"/>
      <c r="D178" s="10" t="s">
        <v>40</v>
      </c>
      <c r="E178" s="8"/>
      <c r="F178" s="8"/>
      <c r="G178" s="8">
        <v>4.3542074363992203E-3</v>
      </c>
      <c r="H178" s="8"/>
    </row>
    <row r="179" spans="2:8" ht="18.75" customHeight="1" x14ac:dyDescent="0.35">
      <c r="B179" s="7" t="s">
        <v>291</v>
      </c>
      <c r="C179" s="5"/>
      <c r="D179" s="7" t="s">
        <v>40</v>
      </c>
      <c r="E179" s="5"/>
      <c r="F179" s="5"/>
      <c r="G179" s="5">
        <v>4.3542074363992203E-3</v>
      </c>
      <c r="H179" s="5"/>
    </row>
    <row r="180" spans="2:8" ht="18.75" customHeight="1" x14ac:dyDescent="0.35">
      <c r="B180" s="10" t="s">
        <v>292</v>
      </c>
      <c r="C180" s="8"/>
      <c r="D180" s="10" t="s">
        <v>40</v>
      </c>
      <c r="E180" s="8"/>
      <c r="F180" s="8"/>
      <c r="G180" s="8">
        <v>4.3542074363992203E-3</v>
      </c>
      <c r="H180" s="8"/>
    </row>
    <row r="181" spans="2:8" ht="18.75" customHeight="1" x14ac:dyDescent="0.35">
      <c r="B181" s="7" t="s">
        <v>293</v>
      </c>
      <c r="C181" s="5"/>
      <c r="D181" s="7" t="s">
        <v>40</v>
      </c>
      <c r="E181" s="5"/>
      <c r="F181" s="5"/>
      <c r="G181" s="5">
        <v>4.3542074363992203E-3</v>
      </c>
      <c r="H181" s="5"/>
    </row>
    <row r="182" spans="2:8" ht="18.75" customHeight="1" x14ac:dyDescent="0.35">
      <c r="B182" s="10" t="s">
        <v>294</v>
      </c>
      <c r="C182" s="8"/>
      <c r="D182" s="10" t="s">
        <v>40</v>
      </c>
      <c r="E182" s="8"/>
      <c r="F182" s="8"/>
      <c r="G182" s="8">
        <v>4.3542074363992203E-3</v>
      </c>
      <c r="H182" s="8"/>
    </row>
    <row r="183" spans="2:8" ht="18.75" customHeight="1" x14ac:dyDescent="0.35">
      <c r="B183" s="7" t="s">
        <v>295</v>
      </c>
      <c r="C183" s="5"/>
      <c r="D183" s="7" t="s">
        <v>40</v>
      </c>
      <c r="E183" s="5"/>
      <c r="F183" s="5"/>
      <c r="G183" s="5">
        <v>4.3542074363992203E-3</v>
      </c>
      <c r="H183" s="5"/>
    </row>
    <row r="184" spans="2:8" ht="18.75" customHeight="1" x14ac:dyDescent="0.35">
      <c r="B184" s="10" t="s">
        <v>296</v>
      </c>
      <c r="C184" s="8"/>
      <c r="D184" s="10" t="s">
        <v>40</v>
      </c>
      <c r="E184" s="8"/>
      <c r="F184" s="8"/>
      <c r="G184" s="8">
        <v>4.3542074363992203E-3</v>
      </c>
      <c r="H184" s="8"/>
    </row>
    <row r="185" spans="2:8" ht="18.75" customHeight="1" x14ac:dyDescent="0.35">
      <c r="B185" s="7" t="s">
        <v>297</v>
      </c>
      <c r="C185" s="5"/>
      <c r="D185" s="7" t="s">
        <v>40</v>
      </c>
      <c r="E185" s="5"/>
      <c r="F185" s="5"/>
      <c r="G185" s="5">
        <v>4.3542074363992203E-3</v>
      </c>
      <c r="H185" s="5"/>
    </row>
    <row r="186" spans="2:8" ht="18.75" customHeight="1" x14ac:dyDescent="0.35">
      <c r="B186" s="10" t="s">
        <v>298</v>
      </c>
      <c r="C186" s="8"/>
      <c r="D186" s="10" t="s">
        <v>40</v>
      </c>
      <c r="E186" s="8"/>
      <c r="F186" s="8"/>
      <c r="G186" s="8">
        <v>4.3542074363992203E-3</v>
      </c>
      <c r="H186" s="8"/>
    </row>
    <row r="187" spans="2:8" ht="18.75" customHeight="1" x14ac:dyDescent="0.35">
      <c r="B187" s="7" t="s">
        <v>299</v>
      </c>
      <c r="C187" s="5"/>
      <c r="D187" s="7" t="s">
        <v>40</v>
      </c>
      <c r="E187" s="5"/>
      <c r="F187" s="5"/>
      <c r="G187" s="5">
        <v>4.3542074363992203E-3</v>
      </c>
      <c r="H187" s="5"/>
    </row>
    <row r="188" spans="2:8" ht="18.75" customHeight="1" x14ac:dyDescent="0.35">
      <c r="B188" s="10" t="s">
        <v>300</v>
      </c>
      <c r="C188" s="8"/>
      <c r="D188" s="10" t="s">
        <v>40</v>
      </c>
      <c r="E188" s="8"/>
      <c r="F188" s="8"/>
      <c r="G188" s="8">
        <v>4.3542074363992203E-3</v>
      </c>
      <c r="H188" s="8"/>
    </row>
    <row r="189" spans="2:8" ht="18.75" customHeight="1" x14ac:dyDescent="0.35">
      <c r="B189" s="7" t="s">
        <v>301</v>
      </c>
      <c r="C189" s="5"/>
      <c r="D189" s="7" t="s">
        <v>40</v>
      </c>
      <c r="E189" s="5"/>
      <c r="F189" s="5"/>
      <c r="G189" s="5">
        <v>4.3542074363992203E-3</v>
      </c>
      <c r="H189" s="5"/>
    </row>
    <row r="190" spans="2:8" ht="18.75" customHeight="1" x14ac:dyDescent="0.35">
      <c r="B190" s="10" t="s">
        <v>302</v>
      </c>
      <c r="C190" s="8"/>
      <c r="D190" s="10" t="s">
        <v>40</v>
      </c>
      <c r="E190" s="8"/>
      <c r="F190" s="8"/>
      <c r="G190" s="8">
        <v>4.3542074363992203E-3</v>
      </c>
      <c r="H190" s="8"/>
    </row>
    <row r="191" spans="2:8" ht="18.75" customHeight="1" x14ac:dyDescent="0.35">
      <c r="B191" s="7" t="s">
        <v>303</v>
      </c>
      <c r="C191" s="5"/>
      <c r="D191" s="7" t="s">
        <v>40</v>
      </c>
      <c r="E191" s="5"/>
      <c r="F191" s="5"/>
      <c r="G191" s="5">
        <v>4.3542074363992203E-3</v>
      </c>
      <c r="H191" s="5"/>
    </row>
    <row r="192" spans="2:8" ht="18.75" customHeight="1" x14ac:dyDescent="0.35">
      <c r="B192" s="10" t="s">
        <v>304</v>
      </c>
      <c r="C192" s="8"/>
      <c r="D192" s="10" t="s">
        <v>40</v>
      </c>
      <c r="E192" s="8"/>
      <c r="F192" s="8"/>
      <c r="G192" s="8">
        <v>4.3542074363992203E-3</v>
      </c>
      <c r="H192" s="8"/>
    </row>
    <row r="193" spans="2:8" ht="18.75" customHeight="1" x14ac:dyDescent="0.35">
      <c r="B193" s="7" t="s">
        <v>305</v>
      </c>
      <c r="C193" s="5"/>
      <c r="D193" s="7" t="s">
        <v>40</v>
      </c>
      <c r="E193" s="5"/>
      <c r="F193" s="5"/>
      <c r="G193" s="5">
        <v>4.3542074363992203E-3</v>
      </c>
      <c r="H193" s="5"/>
    </row>
    <row r="194" spans="2:8" ht="18.75" customHeight="1" x14ac:dyDescent="0.35">
      <c r="B194" s="10" t="s">
        <v>306</v>
      </c>
      <c r="C194" s="8"/>
      <c r="D194" s="10" t="s">
        <v>40</v>
      </c>
      <c r="E194" s="8"/>
      <c r="F194" s="8"/>
      <c r="G194" s="8">
        <v>4.3542074363992203E-3</v>
      </c>
      <c r="H194" s="8"/>
    </row>
    <row r="195" spans="2:8" ht="18.75" customHeight="1" x14ac:dyDescent="0.35">
      <c r="B195" s="7" t="s">
        <v>307</v>
      </c>
      <c r="C195" s="5"/>
      <c r="D195" s="7" t="s">
        <v>40</v>
      </c>
      <c r="E195" s="5"/>
      <c r="F195" s="5"/>
      <c r="G195" s="5">
        <v>4.3542074363992203E-3</v>
      </c>
      <c r="H195" s="5"/>
    </row>
    <row r="196" spans="2:8" ht="18.75" customHeight="1" x14ac:dyDescent="0.35">
      <c r="B196" s="10" t="s">
        <v>308</v>
      </c>
      <c r="C196" s="8"/>
      <c r="D196" s="10" t="s">
        <v>40</v>
      </c>
      <c r="E196" s="8"/>
      <c r="F196" s="8"/>
      <c r="G196" s="8">
        <v>4.3542074363992203E-3</v>
      </c>
      <c r="H196" s="8"/>
    </row>
    <row r="197" spans="2:8" ht="18.75" customHeight="1" x14ac:dyDescent="0.35">
      <c r="B197" s="7" t="s">
        <v>309</v>
      </c>
      <c r="C197" s="5"/>
      <c r="D197" s="7" t="s">
        <v>40</v>
      </c>
      <c r="E197" s="5"/>
      <c r="F197" s="5"/>
      <c r="G197" s="5">
        <v>4.3542074363992203E-3</v>
      </c>
      <c r="H197" s="5"/>
    </row>
    <row r="198" spans="2:8" ht="18.75" customHeight="1" x14ac:dyDescent="0.35">
      <c r="B198" s="10" t="s">
        <v>310</v>
      </c>
      <c r="C198" s="8"/>
      <c r="D198" s="10" t="s">
        <v>40</v>
      </c>
      <c r="E198" s="8"/>
      <c r="F198" s="8"/>
      <c r="G198" s="8">
        <v>4.3542074363992203E-3</v>
      </c>
      <c r="H198" s="8"/>
    </row>
    <row r="199" spans="2:8" ht="18.75" customHeight="1" x14ac:dyDescent="0.35">
      <c r="B199" s="7" t="s">
        <v>311</v>
      </c>
      <c r="C199" s="5"/>
      <c r="D199" s="7" t="s">
        <v>40</v>
      </c>
      <c r="E199" s="5"/>
      <c r="F199" s="5"/>
      <c r="G199" s="5">
        <v>4.3542074363992203E-3</v>
      </c>
      <c r="H199" s="5"/>
    </row>
    <row r="200" spans="2:8" ht="18.75" customHeight="1" x14ac:dyDescent="0.35">
      <c r="B200" s="10" t="s">
        <v>312</v>
      </c>
      <c r="C200" s="8"/>
      <c r="D200" s="10" t="s">
        <v>40</v>
      </c>
      <c r="E200" s="8"/>
      <c r="F200" s="8"/>
      <c r="G200" s="8">
        <v>4.3542074363992203E-3</v>
      </c>
      <c r="H200" s="8"/>
    </row>
    <row r="201" spans="2:8" ht="18.75" customHeight="1" x14ac:dyDescent="0.35">
      <c r="B201" s="7" t="s">
        <v>313</v>
      </c>
      <c r="C201" s="5"/>
      <c r="D201" s="7" t="s">
        <v>40</v>
      </c>
      <c r="E201" s="5"/>
      <c r="F201" s="5"/>
      <c r="G201" s="5">
        <v>4.3542074363992203E-3</v>
      </c>
      <c r="H201" s="5"/>
    </row>
    <row r="202" spans="2:8" ht="18.75" customHeight="1" x14ac:dyDescent="0.35">
      <c r="B202" s="10" t="s">
        <v>314</v>
      </c>
      <c r="C202" s="8"/>
      <c r="D202" s="10" t="s">
        <v>40</v>
      </c>
      <c r="E202" s="8"/>
      <c r="F202" s="8"/>
      <c r="G202" s="8">
        <v>4.3542074363992203E-3</v>
      </c>
      <c r="H202" s="8"/>
    </row>
    <row r="203" spans="2:8" ht="18.75" customHeight="1" x14ac:dyDescent="0.35">
      <c r="B203" s="7" t="s">
        <v>315</v>
      </c>
      <c r="C203" s="5"/>
      <c r="D203" s="7" t="s">
        <v>40</v>
      </c>
      <c r="E203" s="5"/>
      <c r="F203" s="5"/>
      <c r="G203" s="5">
        <v>4.3542074363992203E-3</v>
      </c>
      <c r="H203" s="5"/>
    </row>
    <row r="204" spans="2:8" ht="18.75" customHeight="1" x14ac:dyDescent="0.35">
      <c r="B204" s="10" t="s">
        <v>316</v>
      </c>
      <c r="C204" s="8"/>
      <c r="D204" s="10" t="s">
        <v>40</v>
      </c>
      <c r="E204" s="8"/>
      <c r="F204" s="8"/>
      <c r="G204" s="8">
        <v>4.3542074363992203E-3</v>
      </c>
      <c r="H204" s="8"/>
    </row>
    <row r="205" spans="2:8" ht="18.75" customHeight="1" x14ac:dyDescent="0.35">
      <c r="B205" s="7" t="s">
        <v>317</v>
      </c>
      <c r="C205" s="5"/>
      <c r="D205" s="7" t="s">
        <v>40</v>
      </c>
      <c r="E205" s="5"/>
      <c r="F205" s="5"/>
      <c r="G205" s="5">
        <v>4.3542074363992203E-3</v>
      </c>
      <c r="H205" s="5"/>
    </row>
    <row r="206" spans="2:8" ht="18.75" customHeight="1" x14ac:dyDescent="0.35">
      <c r="B206" s="10" t="s">
        <v>318</v>
      </c>
      <c r="C206" s="8"/>
      <c r="D206" s="10" t="s">
        <v>40</v>
      </c>
      <c r="E206" s="8"/>
      <c r="F206" s="8"/>
      <c r="G206" s="8">
        <v>4.3542074363992203E-3</v>
      </c>
      <c r="H206" s="8"/>
    </row>
    <row r="207" spans="2:8" ht="18.75" customHeight="1" x14ac:dyDescent="0.35">
      <c r="B207" s="7" t="s">
        <v>319</v>
      </c>
      <c r="C207" s="5"/>
      <c r="D207" s="7" t="s">
        <v>40</v>
      </c>
      <c r="E207" s="5"/>
      <c r="F207" s="5"/>
      <c r="G207" s="5">
        <v>4.3542074363992203E-3</v>
      </c>
      <c r="H207" s="5"/>
    </row>
    <row r="208" spans="2:8" ht="18.75" customHeight="1" x14ac:dyDescent="0.35">
      <c r="B208" s="10" t="s">
        <v>320</v>
      </c>
      <c r="C208" s="8"/>
      <c r="D208" s="10" t="s">
        <v>40</v>
      </c>
      <c r="E208" s="8"/>
      <c r="F208" s="8"/>
      <c r="G208" s="8">
        <v>4.3542074363992203E-3</v>
      </c>
      <c r="H208" s="8"/>
    </row>
    <row r="209" spans="2:8" ht="18.75" customHeight="1" x14ac:dyDescent="0.35">
      <c r="B209" s="7" t="s">
        <v>321</v>
      </c>
      <c r="C209" s="5"/>
      <c r="D209" s="7" t="s">
        <v>40</v>
      </c>
      <c r="E209" s="5"/>
      <c r="F209" s="5"/>
      <c r="G209" s="5">
        <v>4.3542074363992203E-3</v>
      </c>
      <c r="H209" s="5"/>
    </row>
    <row r="210" spans="2:8" ht="18.75" customHeight="1" x14ac:dyDescent="0.35">
      <c r="B210" s="10" t="s">
        <v>322</v>
      </c>
      <c r="C210" s="8"/>
      <c r="D210" s="10" t="s">
        <v>40</v>
      </c>
      <c r="E210" s="8"/>
      <c r="F210" s="8"/>
      <c r="G210" s="8">
        <v>4.3542074363992203E-3</v>
      </c>
      <c r="H210" s="8"/>
    </row>
    <row r="211" spans="2:8" ht="18.75" customHeight="1" x14ac:dyDescent="0.35">
      <c r="B211" s="7" t="s">
        <v>323</v>
      </c>
      <c r="C211" s="5"/>
      <c r="D211" s="7" t="s">
        <v>40</v>
      </c>
      <c r="E211" s="5"/>
      <c r="F211" s="5"/>
      <c r="G211" s="5">
        <v>4.3542074363992203E-3</v>
      </c>
      <c r="H211" s="5"/>
    </row>
    <row r="212" spans="2:8" ht="18.75" customHeight="1" x14ac:dyDescent="0.35">
      <c r="B212" s="10" t="s">
        <v>324</v>
      </c>
      <c r="C212" s="8"/>
      <c r="D212" s="10" t="s">
        <v>40</v>
      </c>
      <c r="E212" s="8"/>
      <c r="F212" s="8"/>
      <c r="G212" s="8">
        <v>4.3542074363992203E-3</v>
      </c>
      <c r="H212" s="8"/>
    </row>
    <row r="213" spans="2:8" ht="18.75" customHeight="1" x14ac:dyDescent="0.35">
      <c r="B213" s="7" t="s">
        <v>325</v>
      </c>
      <c r="C213" s="5"/>
      <c r="D213" s="7" t="s">
        <v>40</v>
      </c>
      <c r="E213" s="5"/>
      <c r="F213" s="5"/>
      <c r="G213" s="5">
        <v>4.3542074363992203E-3</v>
      </c>
      <c r="H213" s="5"/>
    </row>
    <row r="214" spans="2:8" ht="18.75" customHeight="1" x14ac:dyDescent="0.35">
      <c r="B214" s="10" t="s">
        <v>326</v>
      </c>
      <c r="C214" s="8"/>
      <c r="D214" s="10" t="s">
        <v>40</v>
      </c>
      <c r="E214" s="8"/>
      <c r="F214" s="8"/>
      <c r="G214" s="8">
        <v>4.3542074363992203E-3</v>
      </c>
      <c r="H214" s="8"/>
    </row>
    <row r="215" spans="2:8" ht="18.75" customHeight="1" x14ac:dyDescent="0.35">
      <c r="B215" s="7" t="s">
        <v>327</v>
      </c>
      <c r="C215" s="5"/>
      <c r="D215" s="7" t="s">
        <v>40</v>
      </c>
      <c r="E215" s="5"/>
      <c r="F215" s="5"/>
      <c r="G215" s="5">
        <v>4.3542074363992203E-3</v>
      </c>
      <c r="H215" s="5"/>
    </row>
    <row r="216" spans="2:8" ht="18.75" customHeight="1" x14ac:dyDescent="0.35">
      <c r="B216" s="10" t="s">
        <v>328</v>
      </c>
      <c r="C216" s="8"/>
      <c r="D216" s="10" t="s">
        <v>40</v>
      </c>
      <c r="E216" s="8"/>
      <c r="F216" s="8"/>
      <c r="G216" s="8">
        <v>4.3542074363992203E-3</v>
      </c>
      <c r="H216" s="8"/>
    </row>
    <row r="217" spans="2:8" ht="18.75" customHeight="1" x14ac:dyDescent="0.35">
      <c r="B217" s="7" t="s">
        <v>329</v>
      </c>
      <c r="C217" s="5"/>
      <c r="D217" s="7" t="s">
        <v>40</v>
      </c>
      <c r="E217" s="5"/>
      <c r="F217" s="5"/>
      <c r="G217" s="5">
        <v>4.3542074363992203E-3</v>
      </c>
      <c r="H217" s="5"/>
    </row>
    <row r="218" spans="2:8" ht="18.75" customHeight="1" x14ac:dyDescent="0.35">
      <c r="B218" s="10" t="s">
        <v>330</v>
      </c>
      <c r="C218" s="8"/>
      <c r="D218" s="10" t="s">
        <v>40</v>
      </c>
      <c r="E218" s="8"/>
      <c r="F218" s="8"/>
      <c r="G218" s="8">
        <v>4.3542074363992203E-3</v>
      </c>
      <c r="H218" s="8"/>
    </row>
    <row r="219" spans="2:8" ht="18.75" customHeight="1" x14ac:dyDescent="0.35">
      <c r="B219" s="7" t="s">
        <v>331</v>
      </c>
      <c r="C219" s="5"/>
      <c r="D219" s="7" t="s">
        <v>40</v>
      </c>
      <c r="E219" s="5"/>
      <c r="F219" s="5"/>
      <c r="G219" s="5">
        <v>4.3542074363992203E-3</v>
      </c>
      <c r="H219" s="5"/>
    </row>
    <row r="220" spans="2:8" ht="18.75" customHeight="1" x14ac:dyDescent="0.35">
      <c r="B220" s="10" t="s">
        <v>332</v>
      </c>
      <c r="C220" s="8"/>
      <c r="D220" s="10" t="s">
        <v>40</v>
      </c>
      <c r="E220" s="8"/>
      <c r="F220" s="8"/>
      <c r="G220" s="8">
        <v>4.3542074363992203E-3</v>
      </c>
      <c r="H220" s="8"/>
    </row>
    <row r="221" spans="2:8" ht="18.75" customHeight="1" x14ac:dyDescent="0.35">
      <c r="B221" s="7" t="s">
        <v>333</v>
      </c>
      <c r="C221" s="5"/>
      <c r="D221" s="7" t="s">
        <v>40</v>
      </c>
      <c r="E221" s="5"/>
      <c r="F221" s="5"/>
      <c r="G221" s="5">
        <v>4.3542074363992203E-3</v>
      </c>
      <c r="H221" s="5"/>
    </row>
    <row r="222" spans="2:8" ht="18.75" customHeight="1" x14ac:dyDescent="0.35">
      <c r="B222" s="10" t="s">
        <v>334</v>
      </c>
      <c r="C222" s="8"/>
      <c r="D222" s="10" t="s">
        <v>40</v>
      </c>
      <c r="E222" s="8"/>
      <c r="F222" s="8"/>
      <c r="G222" s="8">
        <v>4.3542074363992203E-3</v>
      </c>
      <c r="H222" s="8"/>
    </row>
    <row r="223" spans="2:8" ht="18.75" customHeight="1" x14ac:dyDescent="0.35">
      <c r="B223" s="7" t="s">
        <v>335</v>
      </c>
      <c r="C223" s="5"/>
      <c r="D223" s="7" t="s">
        <v>40</v>
      </c>
      <c r="E223" s="5"/>
      <c r="F223" s="5"/>
      <c r="G223" s="5">
        <v>4.3542074363992203E-3</v>
      </c>
      <c r="H223" s="5"/>
    </row>
    <row r="224" spans="2:8" ht="18.75" customHeight="1" x14ac:dyDescent="0.35">
      <c r="B224" s="10" t="s">
        <v>336</v>
      </c>
      <c r="C224" s="8"/>
      <c r="D224" s="10" t="s">
        <v>40</v>
      </c>
      <c r="E224" s="8"/>
      <c r="F224" s="8"/>
      <c r="G224" s="8">
        <v>4.3542074363992203E-3</v>
      </c>
      <c r="H224" s="8"/>
    </row>
    <row r="225" spans="2:8" ht="18.75" customHeight="1" x14ac:dyDescent="0.35">
      <c r="B225" s="7" t="s">
        <v>337</v>
      </c>
      <c r="C225" s="5"/>
      <c r="D225" s="7" t="s">
        <v>40</v>
      </c>
      <c r="E225" s="5"/>
      <c r="F225" s="5"/>
      <c r="G225" s="5">
        <v>4.3542074363992203E-3</v>
      </c>
      <c r="H225" s="5"/>
    </row>
    <row r="226" spans="2:8" ht="18.75" customHeight="1" x14ac:dyDescent="0.35">
      <c r="B226" s="10" t="s">
        <v>338</v>
      </c>
      <c r="C226" s="8"/>
      <c r="D226" s="10" t="s">
        <v>40</v>
      </c>
      <c r="E226" s="8"/>
      <c r="F226" s="8"/>
      <c r="G226" s="8">
        <v>4.3542074363992203E-3</v>
      </c>
      <c r="H226" s="8"/>
    </row>
    <row r="227" spans="2:8" ht="18.75" customHeight="1" x14ac:dyDescent="0.35">
      <c r="B227" s="7" t="s">
        <v>339</v>
      </c>
      <c r="C227" s="5"/>
      <c r="D227" s="7" t="s">
        <v>40</v>
      </c>
      <c r="E227" s="5"/>
      <c r="F227" s="5"/>
      <c r="G227" s="5">
        <v>4.3542074363992203E-3</v>
      </c>
      <c r="H227" s="5"/>
    </row>
    <row r="228" spans="2:8" ht="18.75" customHeight="1" x14ac:dyDescent="0.35">
      <c r="B228" s="10" t="s">
        <v>340</v>
      </c>
      <c r="C228" s="8"/>
      <c r="D228" s="10" t="s">
        <v>40</v>
      </c>
      <c r="E228" s="8"/>
      <c r="F228" s="8"/>
      <c r="G228" s="8">
        <v>4.3542074363992203E-3</v>
      </c>
      <c r="H228" s="8"/>
    </row>
    <row r="229" spans="2:8" ht="18.75" customHeight="1" x14ac:dyDescent="0.35">
      <c r="B229" s="7" t="s">
        <v>341</v>
      </c>
      <c r="C229" s="5"/>
      <c r="D229" s="7" t="s">
        <v>40</v>
      </c>
      <c r="E229" s="5"/>
      <c r="F229" s="5"/>
      <c r="G229" s="5">
        <v>4.3542074363992203E-3</v>
      </c>
      <c r="H229" s="5"/>
    </row>
    <row r="230" spans="2:8" ht="18.75" customHeight="1" x14ac:dyDescent="0.35">
      <c r="B230" s="10" t="s">
        <v>342</v>
      </c>
      <c r="C230" s="8"/>
      <c r="D230" s="10" t="s">
        <v>40</v>
      </c>
      <c r="E230" s="8"/>
      <c r="F230" s="8"/>
      <c r="G230" s="8">
        <v>4.3542074363992203E-3</v>
      </c>
      <c r="H230" s="8"/>
    </row>
    <row r="231" spans="2:8" ht="18.75" customHeight="1" x14ac:dyDescent="0.35">
      <c r="B231" s="7" t="s">
        <v>343</v>
      </c>
      <c r="C231" s="5"/>
      <c r="D231" s="7" t="s">
        <v>40</v>
      </c>
      <c r="E231" s="5"/>
      <c r="F231" s="5"/>
      <c r="G231" s="5">
        <v>4.3542074363992203E-3</v>
      </c>
      <c r="H231" s="5"/>
    </row>
    <row r="232" spans="2:8" ht="18.75" customHeight="1" x14ac:dyDescent="0.35">
      <c r="B232" s="10" t="s">
        <v>344</v>
      </c>
      <c r="C232" s="8"/>
      <c r="D232" s="10" t="s">
        <v>40</v>
      </c>
      <c r="E232" s="8"/>
      <c r="F232" s="8"/>
      <c r="G232" s="8">
        <v>4.3542074363992203E-3</v>
      </c>
      <c r="H232" s="8"/>
    </row>
    <row r="233" spans="2:8" ht="18.75" customHeight="1" thickBot="1" x14ac:dyDescent="0.4">
      <c r="B233" s="4" t="s">
        <v>345</v>
      </c>
      <c r="C233" s="3"/>
      <c r="D233" s="4" t="s">
        <v>40</v>
      </c>
      <c r="E233" s="3"/>
      <c r="F233" s="3"/>
      <c r="G233" s="3">
        <v>4.3542074363992203E-3</v>
      </c>
      <c r="H233" s="3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3"/>
  <sheetViews>
    <sheetView workbookViewId="0">
      <selection activeCell="H20" sqref="H20"/>
    </sheetView>
  </sheetViews>
  <sheetFormatPr defaultRowHeight="12.75" x14ac:dyDescent="0.35"/>
  <cols>
    <col min="1" max="1" width="2.86328125" customWidth="1"/>
    <col min="2" max="2" width="13" customWidth="1"/>
    <col min="3" max="3" width="11.265625" customWidth="1"/>
    <col min="4" max="4" width="15.59765625" bestFit="1" customWidth="1"/>
  </cols>
  <sheetData>
    <row r="2" spans="2:9" ht="17.25" x14ac:dyDescent="0.45">
      <c r="B2" s="21" t="s">
        <v>100</v>
      </c>
      <c r="D2" s="21" t="s">
        <v>101</v>
      </c>
      <c r="E2" s="21"/>
      <c r="F2" s="21"/>
    </row>
    <row r="4" spans="2:9" ht="15" customHeight="1" x14ac:dyDescent="0.4">
      <c r="B4" s="17" t="s">
        <v>41</v>
      </c>
      <c r="D4" s="17" t="s">
        <v>42</v>
      </c>
    </row>
    <row r="5" spans="2:9" ht="15" customHeight="1" thickBot="1" x14ac:dyDescent="0.4">
      <c r="B5" s="19" t="s">
        <v>43</v>
      </c>
      <c r="D5" s="19" t="s">
        <v>44</v>
      </c>
      <c r="E5" s="19" t="s">
        <v>45</v>
      </c>
      <c r="F5" s="19" t="s">
        <v>46</v>
      </c>
      <c r="G5" s="19" t="s">
        <v>47</v>
      </c>
      <c r="H5" s="19" t="s">
        <v>48</v>
      </c>
      <c r="I5" s="19" t="s">
        <v>49</v>
      </c>
    </row>
    <row r="6" spans="2:9" ht="15" customHeight="1" x14ac:dyDescent="0.35">
      <c r="B6" s="26" t="s">
        <v>50</v>
      </c>
      <c r="D6" s="26" t="s">
        <v>51</v>
      </c>
      <c r="E6" s="26" t="s">
        <v>52</v>
      </c>
      <c r="F6" s="26" t="s">
        <v>52</v>
      </c>
      <c r="G6" s="26" t="s">
        <v>52</v>
      </c>
      <c r="H6" s="26" t="s">
        <v>52</v>
      </c>
      <c r="I6" s="26" t="s">
        <v>53</v>
      </c>
    </row>
    <row r="7" spans="2:9" ht="15" customHeight="1" thickBot="1" x14ac:dyDescent="0.4">
      <c r="B7" s="38" t="s">
        <v>54</v>
      </c>
      <c r="D7" s="39" t="s">
        <v>55</v>
      </c>
      <c r="E7" s="39" t="s">
        <v>56</v>
      </c>
      <c r="F7" s="39" t="s">
        <v>57</v>
      </c>
      <c r="G7" s="39" t="s">
        <v>57</v>
      </c>
      <c r="H7" s="39" t="s">
        <v>56</v>
      </c>
      <c r="I7" s="39" t="s">
        <v>58</v>
      </c>
    </row>
    <row r="8" spans="2:9" ht="15" customHeight="1" thickBot="1" x14ac:dyDescent="0.4">
      <c r="D8" s="32" t="s">
        <v>59</v>
      </c>
      <c r="E8" s="32" t="s">
        <v>52</v>
      </c>
      <c r="F8" s="32" t="s">
        <v>52</v>
      </c>
      <c r="G8" s="32" t="s">
        <v>52</v>
      </c>
      <c r="H8" s="32" t="s">
        <v>52</v>
      </c>
      <c r="I8" s="32" t="s">
        <v>53</v>
      </c>
    </row>
    <row r="9" spans="2:9" ht="12.75" customHeight="1" x14ac:dyDescent="0.35">
      <c r="D9" s="26"/>
      <c r="E9" s="26"/>
      <c r="F9" s="26"/>
      <c r="G9" s="26"/>
      <c r="H9" s="26"/>
      <c r="I9" s="26"/>
    </row>
    <row r="10" spans="2:9" ht="12.75" customHeight="1" x14ac:dyDescent="0.35"/>
    <row r="11" spans="2:9" ht="17.25" x14ac:dyDescent="0.45">
      <c r="B11" s="21" t="s">
        <v>102</v>
      </c>
      <c r="C11" s="21"/>
      <c r="D11" s="21"/>
      <c r="E11" s="21"/>
    </row>
    <row r="13" spans="2:9" ht="15.75" customHeight="1" x14ac:dyDescent="0.4">
      <c r="B13" s="17" t="s">
        <v>99</v>
      </c>
    </row>
    <row r="14" spans="2:9" ht="15.75" customHeight="1" thickBot="1" x14ac:dyDescent="0.4">
      <c r="B14" s="19" t="s">
        <v>60</v>
      </c>
      <c r="C14" s="19" t="s">
        <v>61</v>
      </c>
      <c r="D14" s="19" t="s">
        <v>62</v>
      </c>
    </row>
    <row r="15" spans="2:9" ht="15.75" customHeight="1" x14ac:dyDescent="0.35">
      <c r="B15" s="26" t="s">
        <v>63</v>
      </c>
      <c r="C15" s="26" t="s">
        <v>52</v>
      </c>
      <c r="D15" s="26">
        <v>1055.55</v>
      </c>
    </row>
    <row r="16" spans="2:9" ht="15.75" customHeight="1" x14ac:dyDescent="0.35">
      <c r="B16" s="39" t="s">
        <v>64</v>
      </c>
      <c r="C16" s="39" t="s">
        <v>52</v>
      </c>
      <c r="D16" s="39">
        <v>3.6</v>
      </c>
    </row>
    <row r="17" spans="2:4" ht="15.75" customHeight="1" x14ac:dyDescent="0.35">
      <c r="B17" s="26" t="s">
        <v>65</v>
      </c>
      <c r="C17" s="26" t="s">
        <v>66</v>
      </c>
      <c r="D17" s="26">
        <v>1000</v>
      </c>
    </row>
    <row r="18" spans="2:4" ht="15.75" customHeight="1" x14ac:dyDescent="0.35">
      <c r="B18" s="39" t="s">
        <v>67</v>
      </c>
      <c r="C18" s="39" t="s">
        <v>68</v>
      </c>
      <c r="D18" s="39">
        <v>1000</v>
      </c>
    </row>
    <row r="19" spans="2:4" ht="15.75" customHeight="1" x14ac:dyDescent="0.35">
      <c r="B19" s="26" t="s">
        <v>69</v>
      </c>
      <c r="C19" s="26" t="s">
        <v>52</v>
      </c>
      <c r="D19" s="26">
        <v>1.05555</v>
      </c>
    </row>
    <row r="20" spans="2:4" ht="15.75" customHeight="1" x14ac:dyDescent="0.35">
      <c r="B20" s="39" t="s">
        <v>70</v>
      </c>
      <c r="C20" s="39" t="s">
        <v>52</v>
      </c>
      <c r="D20" s="39">
        <v>4.1868000000000002E-2</v>
      </c>
    </row>
    <row r="21" spans="2:4" ht="15.75" customHeight="1" x14ac:dyDescent="0.35">
      <c r="B21" s="26" t="s">
        <v>71</v>
      </c>
      <c r="C21" s="26" t="s">
        <v>52</v>
      </c>
      <c r="D21" s="26">
        <v>41.868000000000002</v>
      </c>
    </row>
    <row r="22" spans="2:4" ht="15.75" customHeight="1" x14ac:dyDescent="0.35">
      <c r="B22" s="39" t="s">
        <v>72</v>
      </c>
      <c r="C22" s="39" t="s">
        <v>52</v>
      </c>
      <c r="D22" s="39">
        <v>3.5999999999999999E-3</v>
      </c>
    </row>
    <row r="23" spans="2:4" ht="15.75" customHeight="1" x14ac:dyDescent="0.35">
      <c r="B23" s="26" t="s">
        <v>73</v>
      </c>
      <c r="C23" s="26" t="s">
        <v>66</v>
      </c>
      <c r="D23" s="26">
        <v>1000000</v>
      </c>
    </row>
    <row r="24" spans="2:4" ht="15.75" customHeight="1" x14ac:dyDescent="0.35">
      <c r="B24" s="39" t="s">
        <v>74</v>
      </c>
      <c r="C24" s="39" t="s">
        <v>75</v>
      </c>
      <c r="D24" s="39">
        <v>1000</v>
      </c>
    </row>
    <row r="25" spans="2:4" ht="15.75" customHeight="1" x14ac:dyDescent="0.35">
      <c r="B25" s="26" t="s">
        <v>76</v>
      </c>
      <c r="C25" s="26" t="s">
        <v>77</v>
      </c>
      <c r="D25" s="26">
        <v>0.15384600000000001</v>
      </c>
    </row>
    <row r="26" spans="2:4" ht="15.75" customHeight="1" x14ac:dyDescent="0.35">
      <c r="B26" s="39" t="s">
        <v>78</v>
      </c>
      <c r="C26" s="39" t="s">
        <v>79</v>
      </c>
      <c r="D26" s="39">
        <v>-1E-3</v>
      </c>
    </row>
    <row r="27" spans="2:4" ht="15.75" customHeight="1" x14ac:dyDescent="0.35">
      <c r="B27" s="26" t="s">
        <v>80</v>
      </c>
      <c r="C27" s="26" t="s">
        <v>52</v>
      </c>
      <c r="D27" s="26">
        <v>1000</v>
      </c>
    </row>
    <row r="28" spans="2:4" ht="15.75" customHeight="1" x14ac:dyDescent="0.35">
      <c r="B28" s="39" t="s">
        <v>81</v>
      </c>
      <c r="C28" s="39" t="s">
        <v>52</v>
      </c>
      <c r="D28" s="39">
        <v>37.681199999999997</v>
      </c>
    </row>
    <row r="29" spans="2:4" ht="15.75" customHeight="1" x14ac:dyDescent="0.35">
      <c r="B29" s="26" t="s">
        <v>82</v>
      </c>
      <c r="C29" s="26" t="s">
        <v>52</v>
      </c>
      <c r="D29" s="26">
        <v>2299</v>
      </c>
    </row>
    <row r="30" spans="2:4" ht="15.75" customHeight="1" x14ac:dyDescent="0.35">
      <c r="B30" s="39" t="s">
        <v>83</v>
      </c>
      <c r="C30" s="39" t="s">
        <v>77</v>
      </c>
      <c r="D30" s="39">
        <v>2.7777769999999999</v>
      </c>
    </row>
    <row r="31" spans="2:4" ht="15.75" customHeight="1" x14ac:dyDescent="0.35">
      <c r="B31" s="26" t="s">
        <v>52</v>
      </c>
      <c r="C31" s="26" t="s">
        <v>64</v>
      </c>
      <c r="D31" s="26">
        <f>1/3.6</f>
        <v>0.27777777777777779</v>
      </c>
    </row>
    <row r="32" spans="2:4" ht="15.75" customHeight="1" x14ac:dyDescent="0.35">
      <c r="B32" s="39" t="s">
        <v>52</v>
      </c>
      <c r="C32" s="39" t="s">
        <v>52</v>
      </c>
      <c r="D32" s="39">
        <v>1</v>
      </c>
    </row>
    <row r="33" spans="2:4" ht="15.75" customHeight="1" thickBot="1" x14ac:dyDescent="0.4">
      <c r="B33" s="29" t="s">
        <v>50</v>
      </c>
      <c r="C33" s="29" t="s">
        <v>54</v>
      </c>
      <c r="D33" s="29">
        <v>4.5</v>
      </c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D73-0DF8-4F72-B0F0-D4FB13B1EA60}">
  <dimension ref="B2:D4"/>
  <sheetViews>
    <sheetView workbookViewId="0">
      <selection activeCell="H23" sqref="H23"/>
    </sheetView>
  </sheetViews>
  <sheetFormatPr defaultColWidth="9.1328125" defaultRowHeight="12.75" x14ac:dyDescent="0.35"/>
  <cols>
    <col min="1" max="1" width="9.1328125" style="51"/>
    <col min="2" max="2" width="10.1328125" style="51" bestFit="1" customWidth="1"/>
    <col min="3" max="3" width="14.1328125" style="51" bestFit="1" customWidth="1"/>
    <col min="4" max="4" width="10.3984375" style="51" bestFit="1" customWidth="1"/>
    <col min="5" max="16384" width="9.1328125" style="51"/>
  </cols>
  <sheetData>
    <row r="2" spans="2:4" ht="13.15" x14ac:dyDescent="0.4">
      <c r="B2" s="49" t="s">
        <v>29</v>
      </c>
      <c r="C2" s="50"/>
      <c r="D2" s="50"/>
    </row>
    <row r="3" spans="2:4" ht="13.15" x14ac:dyDescent="0.35">
      <c r="B3" s="52" t="s">
        <v>14</v>
      </c>
      <c r="C3" s="52" t="s">
        <v>32</v>
      </c>
      <c r="D3" s="52" t="s">
        <v>16</v>
      </c>
    </row>
    <row r="4" spans="2:4" ht="13.15" thickBot="1" x14ac:dyDescent="0.4">
      <c r="B4" s="53" t="s">
        <v>105</v>
      </c>
      <c r="C4" s="53" t="s">
        <v>106</v>
      </c>
      <c r="D4" s="5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EEF3B048-6584-4615-8631-3D2FB0E67A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1C9249-69FC-4D80-A8BF-F45CF9C8F019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Constants</vt:lpstr>
      <vt:lpstr>Defaults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2001-09-28T18:48:17Z</dcterms:created>
  <dcterms:modified xsi:type="dcterms:W3CDTF">2025-12-10T12:44:48Z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615734279155731</vt:r8>
  </property>
</Properties>
</file>